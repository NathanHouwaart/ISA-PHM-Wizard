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PL\ISA3\ISA Input Format\Working Formats\Milling\"/>
    </mc:Choice>
  </mc:AlternateContent>
  <xr:revisionPtr revIDLastSave="0" documentId="13_ncr:1_{45ECB830-3367-4752-A23A-FD56B5AB5316}" xr6:coauthVersionLast="47" xr6:coauthVersionMax="47" xr10:uidLastSave="{00000000-0000-0000-0000-000000000000}"/>
  <bookViews>
    <workbookView xWindow="-28920" yWindow="-1845" windowWidth="29040" windowHeight="17520" activeTab="2" xr2:uid="{00000000-000D-0000-FFFF-FFFF00000000}"/>
  </bookViews>
  <sheets>
    <sheet name="Investigation details" sheetId="1" r:id="rId1"/>
    <sheet name="Set-up details" sheetId="2" r:id="rId2"/>
    <sheet name="Study details" sheetId="11" r:id="rId3"/>
    <sheet name="Measurement Details" sheetId="5" r:id="rId4"/>
    <sheet name="Test matrix" sheetId="16" r:id="rId5"/>
    <sheet name="Measurement protocols" sheetId="12" r:id="rId6"/>
    <sheet name="Measurement output" sheetId="6" r:id="rId7"/>
    <sheet name="Processing protocols" sheetId="13" r:id="rId8"/>
    <sheet name="Processing output" sheetId="7" r:id="rId9"/>
    <sheet name="Assays" sheetId="15" r:id="rId10"/>
  </sheets>
  <definedNames>
    <definedName name="_xleta.TIME" hidden="1" xlm="1">#NAME?</definedName>
    <definedName name="a_1_1">Assays!$B$2</definedName>
    <definedName name="a_1_10">Assays!$L$2</definedName>
    <definedName name="a_1_11">Assays!$M$2</definedName>
    <definedName name="a_1_2">Assays!$C$2</definedName>
    <definedName name="a_1_3">Assays!$D$2</definedName>
    <definedName name="a_1_4">Assays!$E$2</definedName>
    <definedName name="a_1_5">Assays!$F$2</definedName>
    <definedName name="a_1_6">Assays!$G$2</definedName>
    <definedName name="a_1_7">Assays!$H$2</definedName>
    <definedName name="a_1_8">Assays!$J$2</definedName>
    <definedName name="a_1_9">Assays!$K$2</definedName>
    <definedName name="a_2_1">Assays!$B$3</definedName>
    <definedName name="a_2_10">Assays!$L$3</definedName>
    <definedName name="a_2_11">Assays!$M$3</definedName>
    <definedName name="a_2_2">Assays!$C$3</definedName>
    <definedName name="a_2_3">Assays!$D$3</definedName>
    <definedName name="a_2_4">Assays!$E$3</definedName>
    <definedName name="a_2_5">Assays!$F$3</definedName>
    <definedName name="a_2_6">Assays!$G$3</definedName>
    <definedName name="a_2_7">Assays!$H$3</definedName>
    <definedName name="a_2_8">Assays!$J$3</definedName>
    <definedName name="a_2_9">Assays!$K$3</definedName>
    <definedName name="a_3_1">Assays!$B$4</definedName>
    <definedName name="a_3_10">Assays!$L$4</definedName>
    <definedName name="a_3_11">Assays!$M$4</definedName>
    <definedName name="a_3_2">Assays!$C$4</definedName>
    <definedName name="a_3_3">Assays!$D$4</definedName>
    <definedName name="a_3_4">Assays!$E$4</definedName>
    <definedName name="a_3_5">Assays!$F$4</definedName>
    <definedName name="a_3_6">Assays!$G$4</definedName>
    <definedName name="a_3_7">Assays!$H$4</definedName>
    <definedName name="a_3_8">Assays!$J$4</definedName>
    <definedName name="a_3_9">Assays!$K$4</definedName>
    <definedName name="a_4_1">Assays!$B$5</definedName>
    <definedName name="a_4_10">Assays!$L$5</definedName>
    <definedName name="a_4_11">Assays!$M$5</definedName>
    <definedName name="a_4_2">Assays!$C$5</definedName>
    <definedName name="a_4_3">Assays!$D$5</definedName>
    <definedName name="a_4_4">Assays!$E$5</definedName>
    <definedName name="a_4_5">Assays!$F$5</definedName>
    <definedName name="a_4_6">Assays!$G$5</definedName>
    <definedName name="a_4_7">Assays!$H$5</definedName>
    <definedName name="a_4_8">Assays!$J$5</definedName>
    <definedName name="a_4_9">Assays!$K$5</definedName>
    <definedName name="Measurement_types">'Measurement Details'!$B$2:$B$9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5" l="1"/>
  <c r="B1" i="12" a="1"/>
  <c r="B1" i="15" a="1"/>
  <c r="C1" i="6" a="1"/>
  <c r="C1" i="6" l="1"/>
  <c r="B1" i="15"/>
  <c r="B2" i="15" s="1"/>
  <c r="B1" i="12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9" i="15"/>
  <c r="A20" i="15"/>
  <c r="ED8" i="16" l="1"/>
  <c r="EE8" i="16"/>
  <c r="EF8" i="16"/>
  <c r="EG8" i="16"/>
  <c r="EH8" i="16"/>
  <c r="EI8" i="16"/>
  <c r="EJ8" i="16"/>
  <c r="EK8" i="16"/>
  <c r="EL8" i="16"/>
  <c r="EM8" i="16"/>
  <c r="EN8" i="16"/>
  <c r="EO8" i="16"/>
  <c r="EP8" i="16"/>
  <c r="EQ8" i="16"/>
  <c r="ER8" i="16"/>
  <c r="ED7" i="16"/>
  <c r="EE7" i="16"/>
  <c r="EF7" i="16"/>
  <c r="EG7" i="16"/>
  <c r="EH7" i="16"/>
  <c r="EI7" i="16"/>
  <c r="EJ7" i="16"/>
  <c r="EK7" i="16"/>
  <c r="EL7" i="16"/>
  <c r="EM7" i="16"/>
  <c r="EN7" i="16"/>
  <c r="EO7" i="16"/>
  <c r="EP7" i="16"/>
  <c r="EQ7" i="16"/>
  <c r="ER7" i="16"/>
  <c r="ED6" i="16"/>
  <c r="EE6" i="16"/>
  <c r="EF6" i="16"/>
  <c r="EG6" i="16"/>
  <c r="EH6" i="16"/>
  <c r="EI6" i="16"/>
  <c r="EJ6" i="16"/>
  <c r="EK6" i="16"/>
  <c r="EL6" i="16"/>
  <c r="EM6" i="16"/>
  <c r="EN6" i="16"/>
  <c r="EO6" i="16"/>
  <c r="EP6" i="16"/>
  <c r="EQ6" i="16"/>
  <c r="ER6" i="16"/>
  <c r="ED5" i="16"/>
  <c r="EE5" i="16"/>
  <c r="EF5" i="16"/>
  <c r="EG5" i="16"/>
  <c r="EH5" i="16"/>
  <c r="EI5" i="16"/>
  <c r="EJ5" i="16"/>
  <c r="EK5" i="16"/>
  <c r="EL5" i="16"/>
  <c r="EM5" i="16"/>
  <c r="EN5" i="16"/>
  <c r="EO5" i="16"/>
  <c r="EP5" i="16"/>
  <c r="EQ5" i="16"/>
  <c r="ER5" i="16"/>
  <c r="ED4" i="16"/>
  <c r="EE4" i="16"/>
  <c r="EF4" i="16"/>
  <c r="EG4" i="16"/>
  <c r="EH4" i="16"/>
  <c r="EI4" i="16"/>
  <c r="EJ4" i="16"/>
  <c r="EK4" i="16"/>
  <c r="EL4" i="16"/>
  <c r="EM4" i="16"/>
  <c r="EN4" i="16"/>
  <c r="EO4" i="16"/>
  <c r="EP4" i="16"/>
  <c r="EQ4" i="16"/>
  <c r="ER4" i="16"/>
  <c r="EC4" i="16"/>
  <c r="EC5" i="16"/>
  <c r="EC6" i="16"/>
  <c r="EC7" i="16"/>
  <c r="EC8" i="16"/>
  <c r="ED3" i="16"/>
  <c r="EE3" i="16"/>
  <c r="EF3" i="16"/>
  <c r="EG3" i="16"/>
  <c r="EH3" i="16"/>
  <c r="EI3" i="16"/>
  <c r="EJ3" i="16"/>
  <c r="EK3" i="16"/>
  <c r="EL3" i="16"/>
  <c r="EM3" i="16"/>
  <c r="EN3" i="16"/>
  <c r="EO3" i="16"/>
  <c r="EP3" i="16"/>
  <c r="EQ3" i="16"/>
  <c r="ER3" i="16"/>
  <c r="FM8" i="16"/>
  <c r="FM7" i="16"/>
  <c r="FM6" i="16"/>
  <c r="FM5" i="16"/>
  <c r="FM4" i="16"/>
  <c r="FM3" i="16"/>
  <c r="FL8" i="16"/>
  <c r="FL7" i="16"/>
  <c r="FL6" i="16"/>
  <c r="FL5" i="16"/>
  <c r="FL4" i="16"/>
  <c r="FL3" i="16"/>
  <c r="FK8" i="16"/>
  <c r="FK7" i="16"/>
  <c r="FK6" i="16"/>
  <c r="FK5" i="16"/>
  <c r="FK4" i="16"/>
  <c r="FK3" i="16"/>
  <c r="FJ8" i="16"/>
  <c r="FJ7" i="16"/>
  <c r="FJ6" i="16"/>
  <c r="FJ5" i="16"/>
  <c r="FJ4" i="16"/>
  <c r="FJ3" i="16"/>
  <c r="FI8" i="16"/>
  <c r="FI7" i="16"/>
  <c r="FI6" i="16"/>
  <c r="FI5" i="16"/>
  <c r="FI4" i="16"/>
  <c r="FI3" i="16"/>
  <c r="FH8" i="16"/>
  <c r="FH7" i="16"/>
  <c r="FH6" i="16"/>
  <c r="FH5" i="16"/>
  <c r="FH4" i="16"/>
  <c r="FH3" i="16"/>
  <c r="FG8" i="16"/>
  <c r="FG7" i="16"/>
  <c r="FG6" i="16"/>
  <c r="FG5" i="16"/>
  <c r="FG4" i="16"/>
  <c r="FG3" i="16"/>
  <c r="FF8" i="16"/>
  <c r="FF7" i="16"/>
  <c r="FF6" i="16"/>
  <c r="FF5" i="16"/>
  <c r="FF4" i="16"/>
  <c r="FF3" i="16"/>
  <c r="FE8" i="16"/>
  <c r="FE7" i="16"/>
  <c r="FE6" i="16"/>
  <c r="FE5" i="16"/>
  <c r="FE4" i="16"/>
  <c r="FE3" i="16"/>
  <c r="FD8" i="16"/>
  <c r="FD7" i="16"/>
  <c r="FD6" i="16"/>
  <c r="FD5" i="16"/>
  <c r="FD4" i="16"/>
  <c r="FD3" i="16"/>
  <c r="FC8" i="16"/>
  <c r="FC7" i="16"/>
  <c r="FC6" i="16"/>
  <c r="FC5" i="16"/>
  <c r="FC4" i="16"/>
  <c r="FC3" i="16"/>
  <c r="FB8" i="16"/>
  <c r="FB7" i="16"/>
  <c r="FB6" i="16"/>
  <c r="FB5" i="16"/>
  <c r="FB4" i="16"/>
  <c r="FB3" i="16"/>
  <c r="FA8" i="16"/>
  <c r="FA7" i="16"/>
  <c r="FA6" i="16"/>
  <c r="FA5" i="16"/>
  <c r="FA4" i="16"/>
  <c r="FA3" i="16"/>
  <c r="EZ8" i="16"/>
  <c r="EZ7" i="16"/>
  <c r="EZ6" i="16"/>
  <c r="EZ5" i="16"/>
  <c r="EZ4" i="16"/>
  <c r="EZ3" i="16"/>
  <c r="EY8" i="16"/>
  <c r="EY7" i="16"/>
  <c r="EY6" i="16"/>
  <c r="EY5" i="16"/>
  <c r="EY4" i="16"/>
  <c r="EY3" i="16"/>
  <c r="EX8" i="16"/>
  <c r="EX7" i="16"/>
  <c r="EX6" i="16"/>
  <c r="EX5" i="16"/>
  <c r="EX4" i="16"/>
  <c r="EX3" i="16"/>
  <c r="EW8" i="16"/>
  <c r="EW7" i="16"/>
  <c r="EW6" i="16"/>
  <c r="EW5" i="16"/>
  <c r="EW4" i="16"/>
  <c r="EW3" i="16"/>
  <c r="EV8" i="16"/>
  <c r="EV7" i="16"/>
  <c r="EV6" i="16"/>
  <c r="EV5" i="16"/>
  <c r="EV4" i="16"/>
  <c r="EV3" i="16"/>
  <c r="EU8" i="16"/>
  <c r="EU7" i="16"/>
  <c r="EU6" i="16"/>
  <c r="EU5" i="16"/>
  <c r="EU4" i="16"/>
  <c r="EU3" i="16"/>
  <c r="ET8" i="16"/>
  <c r="ET7" i="16"/>
  <c r="ET6" i="16"/>
  <c r="ET5" i="16"/>
  <c r="ET4" i="16"/>
  <c r="ET3" i="16"/>
  <c r="ES8" i="16"/>
  <c r="ES7" i="16"/>
  <c r="ES6" i="16"/>
  <c r="ES5" i="16"/>
  <c r="ES4" i="16"/>
  <c r="ES3" i="16"/>
  <c r="EC3" i="16"/>
  <c r="EB8" i="16"/>
  <c r="EB7" i="16"/>
  <c r="EB6" i="16"/>
  <c r="EB5" i="16"/>
  <c r="EB4" i="16"/>
  <c r="EB3" i="16"/>
  <c r="EA8" i="16"/>
  <c r="EA7" i="16"/>
  <c r="EA6" i="16"/>
  <c r="EA5" i="16"/>
  <c r="EA4" i="16"/>
  <c r="EA3" i="16"/>
  <c r="DZ8" i="16"/>
  <c r="DZ7" i="16"/>
  <c r="DZ6" i="16"/>
  <c r="DZ5" i="16"/>
  <c r="DZ4" i="16"/>
  <c r="DZ3" i="16"/>
  <c r="DY8" i="16"/>
  <c r="DY7" i="16"/>
  <c r="DY6" i="16"/>
  <c r="DY5" i="16"/>
  <c r="DY4" i="16"/>
  <c r="DY3" i="16"/>
  <c r="DX8" i="16"/>
  <c r="DX7" i="16"/>
  <c r="DX6" i="16"/>
  <c r="DX5" i="16"/>
  <c r="DX4" i="16"/>
  <c r="DX3" i="16"/>
  <c r="DW8" i="16"/>
  <c r="DW7" i="16"/>
  <c r="DW6" i="16"/>
  <c r="DW5" i="16"/>
  <c r="DW4" i="16"/>
  <c r="DW3" i="16"/>
  <c r="DV8" i="16"/>
  <c r="DV7" i="16"/>
  <c r="DV6" i="16"/>
  <c r="DV5" i="16"/>
  <c r="DV4" i="16"/>
  <c r="DV3" i="16"/>
  <c r="DU8" i="16"/>
  <c r="DU7" i="16"/>
  <c r="DU6" i="16"/>
  <c r="DU5" i="16"/>
  <c r="DU4" i="16"/>
  <c r="DU3" i="16"/>
  <c r="DT8" i="16"/>
  <c r="DT7" i="16"/>
  <c r="DT6" i="16"/>
  <c r="DT5" i="16"/>
  <c r="DT4" i="16"/>
  <c r="DT3" i="16"/>
  <c r="DS8" i="16"/>
  <c r="DS7" i="16"/>
  <c r="DS6" i="16"/>
  <c r="DS5" i="16"/>
  <c r="DS4" i="16"/>
  <c r="DS3" i="16"/>
  <c r="DR8" i="16"/>
  <c r="DR7" i="16"/>
  <c r="DR6" i="16"/>
  <c r="DR5" i="16"/>
  <c r="DR4" i="16"/>
  <c r="DR3" i="16"/>
  <c r="DQ8" i="16"/>
  <c r="DQ7" i="16"/>
  <c r="DQ6" i="16"/>
  <c r="DQ5" i="16"/>
  <c r="DQ4" i="16"/>
  <c r="DQ3" i="16"/>
  <c r="DP8" i="16"/>
  <c r="DP7" i="16"/>
  <c r="DP6" i="16"/>
  <c r="DP5" i="16"/>
  <c r="DP4" i="16"/>
  <c r="DP3" i="16"/>
  <c r="DO8" i="16"/>
  <c r="DO7" i="16"/>
  <c r="DO6" i="16"/>
  <c r="DO5" i="16"/>
  <c r="DO4" i="16"/>
  <c r="DO3" i="16"/>
  <c r="DN8" i="16"/>
  <c r="DN7" i="16"/>
  <c r="DN6" i="16"/>
  <c r="DN5" i="16"/>
  <c r="DN4" i="16"/>
  <c r="DN3" i="16"/>
  <c r="DM8" i="16"/>
  <c r="DM7" i="16"/>
  <c r="DM6" i="16"/>
  <c r="DM5" i="16"/>
  <c r="DM4" i="16"/>
  <c r="DM3" i="16"/>
  <c r="DL8" i="16"/>
  <c r="DL7" i="16"/>
  <c r="DL6" i="16"/>
  <c r="DL5" i="16"/>
  <c r="DL4" i="16"/>
  <c r="DL3" i="16"/>
  <c r="DK8" i="16"/>
  <c r="DK7" i="16"/>
  <c r="DK6" i="16"/>
  <c r="DK5" i="16"/>
  <c r="DK4" i="16"/>
  <c r="DK3" i="16"/>
  <c r="DJ8" i="16"/>
  <c r="DJ7" i="16"/>
  <c r="DJ6" i="16"/>
  <c r="DJ5" i="16"/>
  <c r="DJ4" i="16"/>
  <c r="DJ3" i="16"/>
  <c r="DI8" i="16"/>
  <c r="DI7" i="16"/>
  <c r="DI6" i="16"/>
  <c r="DI5" i="16"/>
  <c r="DI4" i="16"/>
  <c r="DI3" i="16"/>
  <c r="DH8" i="16"/>
  <c r="DH7" i="16"/>
  <c r="DH6" i="16"/>
  <c r="DH5" i="16"/>
  <c r="DH4" i="16"/>
  <c r="DH3" i="16"/>
  <c r="DG8" i="16"/>
  <c r="DG7" i="16"/>
  <c r="DG6" i="16"/>
  <c r="DG5" i="16"/>
  <c r="DG4" i="16"/>
  <c r="DG3" i="16"/>
  <c r="DF8" i="16"/>
  <c r="DF7" i="16"/>
  <c r="DF6" i="16"/>
  <c r="DF5" i="16"/>
  <c r="DF4" i="16"/>
  <c r="DF3" i="16"/>
  <c r="DE8" i="16"/>
  <c r="DE7" i="16"/>
  <c r="DE6" i="16"/>
  <c r="DE5" i="16"/>
  <c r="DE4" i="16"/>
  <c r="DE3" i="16"/>
  <c r="DD8" i="16"/>
  <c r="DD7" i="16"/>
  <c r="DD6" i="16"/>
  <c r="DD5" i="16"/>
  <c r="DD4" i="16"/>
  <c r="DD3" i="16"/>
  <c r="DC8" i="16"/>
  <c r="DC7" i="16"/>
  <c r="DC6" i="16"/>
  <c r="DC5" i="16"/>
  <c r="DC4" i="16"/>
  <c r="DC3" i="16"/>
  <c r="DB8" i="16"/>
  <c r="DB7" i="16"/>
  <c r="DB6" i="16"/>
  <c r="DB5" i="16"/>
  <c r="DB4" i="16"/>
  <c r="DB3" i="16"/>
  <c r="DA8" i="16"/>
  <c r="DA7" i="16"/>
  <c r="DA6" i="16"/>
  <c r="DA5" i="16"/>
  <c r="DA4" i="16"/>
  <c r="DA3" i="16"/>
  <c r="CZ8" i="16"/>
  <c r="CZ7" i="16"/>
  <c r="CZ6" i="16"/>
  <c r="CZ5" i="16"/>
  <c r="CZ4" i="16"/>
  <c r="CZ3" i="16"/>
  <c r="CY8" i="16"/>
  <c r="CY7" i="16"/>
  <c r="CY6" i="16"/>
  <c r="CY5" i="16"/>
  <c r="CY4" i="16"/>
  <c r="CY3" i="16"/>
  <c r="CX8" i="16"/>
  <c r="CX7" i="16"/>
  <c r="CX6" i="16"/>
  <c r="CX5" i="16"/>
  <c r="CX4" i="16"/>
  <c r="CX3" i="16"/>
  <c r="CW8" i="16"/>
  <c r="CW7" i="16"/>
  <c r="CW6" i="16"/>
  <c r="CW5" i="16"/>
  <c r="CW4" i="16"/>
  <c r="CW3" i="16"/>
  <c r="CV8" i="16"/>
  <c r="CV7" i="16"/>
  <c r="CV6" i="16"/>
  <c r="CV5" i="16"/>
  <c r="CV4" i="16"/>
  <c r="CV3" i="16"/>
  <c r="CU8" i="16"/>
  <c r="CU7" i="16"/>
  <c r="CU6" i="16"/>
  <c r="CU5" i="16"/>
  <c r="CU4" i="16"/>
  <c r="CU3" i="16"/>
  <c r="CT8" i="16"/>
  <c r="CT7" i="16"/>
  <c r="CT6" i="16"/>
  <c r="CT5" i="16"/>
  <c r="CT4" i="16"/>
  <c r="CT3" i="16"/>
  <c r="CS8" i="16"/>
  <c r="CS7" i="16"/>
  <c r="CS6" i="16"/>
  <c r="CS5" i="16"/>
  <c r="CS4" i="16"/>
  <c r="CS3" i="16"/>
  <c r="CR8" i="16"/>
  <c r="CR7" i="16"/>
  <c r="CR6" i="16"/>
  <c r="CR5" i="16"/>
  <c r="CR4" i="16"/>
  <c r="CR3" i="16"/>
  <c r="CQ8" i="16"/>
  <c r="CQ7" i="16"/>
  <c r="CQ6" i="16"/>
  <c r="CQ5" i="16"/>
  <c r="CQ4" i="16"/>
  <c r="CQ3" i="16"/>
  <c r="CP8" i="16"/>
  <c r="CP7" i="16"/>
  <c r="CP6" i="16"/>
  <c r="CP5" i="16"/>
  <c r="CP4" i="16"/>
  <c r="CP3" i="16"/>
  <c r="CO8" i="16"/>
  <c r="CO7" i="16"/>
  <c r="CO6" i="16"/>
  <c r="CO5" i="16"/>
  <c r="CO4" i="16"/>
  <c r="CO3" i="16"/>
  <c r="CN8" i="16"/>
  <c r="CN7" i="16"/>
  <c r="CN6" i="16"/>
  <c r="CN5" i="16"/>
  <c r="CN4" i="16"/>
  <c r="CN3" i="16"/>
  <c r="CM8" i="16"/>
  <c r="CM7" i="16"/>
  <c r="CM6" i="16"/>
  <c r="CM5" i="16"/>
  <c r="CM4" i="16"/>
  <c r="CM3" i="16"/>
  <c r="CL8" i="16"/>
  <c r="CL7" i="16"/>
  <c r="CL6" i="16"/>
  <c r="CL5" i="16"/>
  <c r="CL4" i="16"/>
  <c r="CL3" i="16"/>
  <c r="CK8" i="16"/>
  <c r="CK7" i="16"/>
  <c r="CK6" i="16"/>
  <c r="CK5" i="16"/>
  <c r="CK4" i="16"/>
  <c r="CK3" i="16"/>
  <c r="CJ8" i="16"/>
  <c r="CJ7" i="16"/>
  <c r="CJ6" i="16"/>
  <c r="CJ5" i="16"/>
  <c r="CJ4" i="16"/>
  <c r="CJ3" i="16"/>
  <c r="CI8" i="16"/>
  <c r="CI7" i="16"/>
  <c r="CI6" i="16"/>
  <c r="CI5" i="16"/>
  <c r="CI4" i="16"/>
  <c r="CI3" i="16"/>
  <c r="CH8" i="16"/>
  <c r="CH7" i="16"/>
  <c r="CH6" i="16"/>
  <c r="CH5" i="16"/>
  <c r="CH4" i="16"/>
  <c r="CH3" i="16"/>
  <c r="CG8" i="16"/>
  <c r="CG7" i="16"/>
  <c r="CG6" i="16"/>
  <c r="CG5" i="16"/>
  <c r="CG4" i="16"/>
  <c r="CG3" i="16"/>
  <c r="CF8" i="16"/>
  <c r="CF7" i="16"/>
  <c r="CF6" i="16"/>
  <c r="CF5" i="16"/>
  <c r="CF4" i="16"/>
  <c r="CF3" i="16"/>
  <c r="CE8" i="16"/>
  <c r="CE7" i="16"/>
  <c r="CE6" i="16"/>
  <c r="CE5" i="16"/>
  <c r="CE4" i="16"/>
  <c r="CE3" i="16"/>
  <c r="CD8" i="16"/>
  <c r="CD7" i="16"/>
  <c r="CD6" i="16"/>
  <c r="CD5" i="16"/>
  <c r="CD4" i="16"/>
  <c r="CD3" i="16"/>
  <c r="CC8" i="16"/>
  <c r="CC7" i="16"/>
  <c r="CC6" i="16"/>
  <c r="CC5" i="16"/>
  <c r="CC4" i="16"/>
  <c r="CC3" i="16"/>
  <c r="CB8" i="16"/>
  <c r="CB7" i="16"/>
  <c r="CB6" i="16"/>
  <c r="CB5" i="16"/>
  <c r="CB4" i="16"/>
  <c r="CB3" i="16"/>
  <c r="CA8" i="16"/>
  <c r="CA7" i="16"/>
  <c r="CA6" i="16"/>
  <c r="CA5" i="16"/>
  <c r="CA4" i="16"/>
  <c r="CA3" i="16"/>
  <c r="BZ8" i="16"/>
  <c r="BZ7" i="16"/>
  <c r="BZ6" i="16"/>
  <c r="BZ5" i="16"/>
  <c r="BZ4" i="16"/>
  <c r="BZ3" i="16"/>
  <c r="BY8" i="16"/>
  <c r="BY7" i="16"/>
  <c r="BY6" i="16"/>
  <c r="BY5" i="16"/>
  <c r="BY4" i="16"/>
  <c r="BY3" i="16"/>
  <c r="BX8" i="16"/>
  <c r="BX7" i="16"/>
  <c r="BX6" i="16"/>
  <c r="BX5" i="16"/>
  <c r="BX4" i="16"/>
  <c r="BX3" i="16"/>
  <c r="BW8" i="16"/>
  <c r="BW7" i="16"/>
  <c r="BW6" i="16"/>
  <c r="BW5" i="16"/>
  <c r="BW4" i="16"/>
  <c r="BW3" i="16"/>
  <c r="BV8" i="16"/>
  <c r="BV7" i="16"/>
  <c r="BV6" i="16"/>
  <c r="BV5" i="16"/>
  <c r="BV4" i="16"/>
  <c r="BV3" i="16"/>
  <c r="BU8" i="16"/>
  <c r="BU7" i="16"/>
  <c r="BU6" i="16"/>
  <c r="BU5" i="16"/>
  <c r="BU4" i="16"/>
  <c r="BU3" i="16"/>
  <c r="BT8" i="16"/>
  <c r="BT7" i="16"/>
  <c r="BT6" i="16"/>
  <c r="BT5" i="16"/>
  <c r="BT4" i="16"/>
  <c r="BT3" i="16"/>
  <c r="BS8" i="16"/>
  <c r="BS7" i="16"/>
  <c r="BS6" i="16"/>
  <c r="BS5" i="16"/>
  <c r="BS4" i="16"/>
  <c r="BS3" i="16"/>
  <c r="BR8" i="16"/>
  <c r="BR7" i="16"/>
  <c r="BR6" i="16"/>
  <c r="BR5" i="16"/>
  <c r="BR4" i="16"/>
  <c r="BR3" i="16"/>
  <c r="BQ8" i="16"/>
  <c r="BQ7" i="16"/>
  <c r="BQ6" i="16"/>
  <c r="BQ5" i="16"/>
  <c r="BQ4" i="16"/>
  <c r="BQ3" i="16"/>
  <c r="BP8" i="16"/>
  <c r="BP7" i="16"/>
  <c r="BP6" i="16"/>
  <c r="BP5" i="16"/>
  <c r="BP4" i="16"/>
  <c r="BP3" i="16"/>
  <c r="BO8" i="16"/>
  <c r="BO7" i="16"/>
  <c r="BO6" i="16"/>
  <c r="BO5" i="16"/>
  <c r="BO4" i="16"/>
  <c r="BO3" i="16"/>
  <c r="BN8" i="16"/>
  <c r="BN7" i="16"/>
  <c r="BN6" i="16"/>
  <c r="BN5" i="16"/>
  <c r="BN4" i="16"/>
  <c r="BN3" i="16"/>
  <c r="BM8" i="16"/>
  <c r="BM7" i="16"/>
  <c r="BM6" i="16"/>
  <c r="BM5" i="16"/>
  <c r="BM4" i="16"/>
  <c r="BM3" i="16"/>
  <c r="BL8" i="16"/>
  <c r="BL7" i="16"/>
  <c r="BL6" i="16"/>
  <c r="BL5" i="16"/>
  <c r="BL4" i="16"/>
  <c r="BL3" i="16"/>
  <c r="BK8" i="16"/>
  <c r="BK7" i="16"/>
  <c r="BK6" i="16"/>
  <c r="BK5" i="16"/>
  <c r="BK4" i="16"/>
  <c r="BK3" i="16"/>
  <c r="BJ8" i="16"/>
  <c r="BJ7" i="16"/>
  <c r="BJ6" i="16"/>
  <c r="BJ5" i="16"/>
  <c r="BJ4" i="16"/>
  <c r="BJ3" i="16"/>
  <c r="BI8" i="16"/>
  <c r="BI7" i="16"/>
  <c r="BI6" i="16"/>
  <c r="BI5" i="16"/>
  <c r="BI4" i="16"/>
  <c r="BI3" i="16"/>
  <c r="BH8" i="16"/>
  <c r="BH7" i="16"/>
  <c r="BH6" i="16"/>
  <c r="BH5" i="16"/>
  <c r="BH4" i="16"/>
  <c r="BH3" i="16"/>
  <c r="BG8" i="16"/>
  <c r="BG7" i="16"/>
  <c r="BG6" i="16"/>
  <c r="BG5" i="16"/>
  <c r="BG4" i="16"/>
  <c r="BG3" i="16"/>
  <c r="BF8" i="16"/>
  <c r="BF7" i="16"/>
  <c r="BF6" i="16"/>
  <c r="BF5" i="16"/>
  <c r="BF4" i="16"/>
  <c r="BF3" i="16"/>
  <c r="BE8" i="16"/>
  <c r="BE7" i="16"/>
  <c r="BE6" i="16"/>
  <c r="BE5" i="16"/>
  <c r="BE4" i="16"/>
  <c r="BE3" i="16"/>
  <c r="BD8" i="16"/>
  <c r="BD7" i="16"/>
  <c r="BD6" i="16"/>
  <c r="BD5" i="16"/>
  <c r="BD4" i="16"/>
  <c r="BD3" i="16"/>
  <c r="BC8" i="16"/>
  <c r="BC7" i="16"/>
  <c r="BC6" i="16"/>
  <c r="BC5" i="16"/>
  <c r="BC4" i="16"/>
  <c r="BC3" i="16"/>
  <c r="BB8" i="16"/>
  <c r="BB7" i="16"/>
  <c r="BB6" i="16"/>
  <c r="BB5" i="16"/>
  <c r="BB4" i="16"/>
  <c r="BB3" i="16"/>
  <c r="BA8" i="16"/>
  <c r="BA7" i="16"/>
  <c r="BA6" i="16"/>
  <c r="BA5" i="16"/>
  <c r="BA4" i="16"/>
  <c r="BA3" i="16"/>
  <c r="AZ8" i="16"/>
  <c r="AZ7" i="16"/>
  <c r="AZ6" i="16"/>
  <c r="AZ5" i="16"/>
  <c r="AZ4" i="16"/>
  <c r="AZ3" i="16"/>
  <c r="AY8" i="16"/>
  <c r="AY7" i="16"/>
  <c r="AY6" i="16"/>
  <c r="AY5" i="16"/>
  <c r="AY4" i="16"/>
  <c r="AY3" i="16"/>
  <c r="AX8" i="16"/>
  <c r="AX7" i="16"/>
  <c r="AX6" i="16"/>
  <c r="AX5" i="16"/>
  <c r="AX4" i="16"/>
  <c r="AX3" i="16"/>
  <c r="AW8" i="16"/>
  <c r="AW7" i="16"/>
  <c r="AW6" i="16"/>
  <c r="AW5" i="16"/>
  <c r="AW4" i="16"/>
  <c r="AW3" i="16"/>
  <c r="AV8" i="16"/>
  <c r="AV7" i="16"/>
  <c r="AV6" i="16"/>
  <c r="AV5" i="16"/>
  <c r="AV4" i="16"/>
  <c r="AV3" i="16"/>
  <c r="AU8" i="16"/>
  <c r="AU7" i="16"/>
  <c r="AU6" i="16"/>
  <c r="AU5" i="16"/>
  <c r="AU4" i="16"/>
  <c r="AU3" i="16"/>
  <c r="AT8" i="16"/>
  <c r="AT7" i="16"/>
  <c r="AT6" i="16"/>
  <c r="AT5" i="16"/>
  <c r="AT4" i="16"/>
  <c r="AT3" i="16"/>
  <c r="AS8" i="16"/>
  <c r="AS7" i="16"/>
  <c r="AS6" i="16"/>
  <c r="AS5" i="16"/>
  <c r="AS4" i="16"/>
  <c r="AS3" i="16"/>
  <c r="AR8" i="16"/>
  <c r="AR7" i="16"/>
  <c r="AR6" i="16"/>
  <c r="AR5" i="16"/>
  <c r="AR4" i="16"/>
  <c r="AR3" i="16"/>
  <c r="AQ8" i="16"/>
  <c r="AQ7" i="16"/>
  <c r="AQ6" i="16"/>
  <c r="AQ5" i="16"/>
  <c r="AQ4" i="16"/>
  <c r="AQ3" i="16"/>
  <c r="AP8" i="16"/>
  <c r="AP7" i="16"/>
  <c r="AP6" i="16"/>
  <c r="AP5" i="16"/>
  <c r="AP4" i="16"/>
  <c r="AP3" i="16"/>
  <c r="AO8" i="16"/>
  <c r="AO7" i="16"/>
  <c r="AO6" i="16"/>
  <c r="AO5" i="16"/>
  <c r="AO4" i="16"/>
  <c r="AO3" i="16"/>
  <c r="AN8" i="16"/>
  <c r="AN7" i="16"/>
  <c r="AN6" i="16"/>
  <c r="AN5" i="16"/>
  <c r="AN4" i="16"/>
  <c r="AN3" i="16"/>
  <c r="AM8" i="16"/>
  <c r="AM7" i="16"/>
  <c r="AM6" i="16"/>
  <c r="AM5" i="16"/>
  <c r="AM4" i="16"/>
  <c r="AM3" i="16"/>
  <c r="AL8" i="16"/>
  <c r="AL7" i="16"/>
  <c r="AL6" i="16"/>
  <c r="AL5" i="16"/>
  <c r="AL4" i="16"/>
  <c r="AL3" i="16"/>
  <c r="AK8" i="16"/>
  <c r="AK7" i="16"/>
  <c r="AK6" i="16"/>
  <c r="AK5" i="16"/>
  <c r="AK4" i="16"/>
  <c r="AK3" i="16"/>
  <c r="AJ8" i="16"/>
  <c r="AJ7" i="16"/>
  <c r="AJ6" i="16"/>
  <c r="AJ5" i="16"/>
  <c r="AJ4" i="16"/>
  <c r="AJ3" i="16"/>
  <c r="AI8" i="16"/>
  <c r="AI7" i="16"/>
  <c r="AI6" i="16"/>
  <c r="AI5" i="16"/>
  <c r="AI4" i="16"/>
  <c r="AI3" i="16"/>
  <c r="AH8" i="16"/>
  <c r="AH7" i="16"/>
  <c r="AH6" i="16"/>
  <c r="AH5" i="16"/>
  <c r="AH4" i="16"/>
  <c r="AH3" i="16"/>
  <c r="AG8" i="16"/>
  <c r="AG7" i="16"/>
  <c r="AG6" i="16"/>
  <c r="AG5" i="16"/>
  <c r="AG4" i="16"/>
  <c r="AG3" i="16"/>
  <c r="AF8" i="16"/>
  <c r="AF7" i="16"/>
  <c r="AF6" i="16"/>
  <c r="AF5" i="16"/>
  <c r="AF4" i="16"/>
  <c r="AF3" i="16"/>
  <c r="AE8" i="16"/>
  <c r="AE7" i="16"/>
  <c r="AE6" i="16"/>
  <c r="AE5" i="16"/>
  <c r="AE4" i="16"/>
  <c r="AE3" i="16"/>
  <c r="AD8" i="16"/>
  <c r="AD7" i="16"/>
  <c r="AD6" i="16"/>
  <c r="AD5" i="16"/>
  <c r="AD4" i="16"/>
  <c r="AD3" i="16"/>
  <c r="AC8" i="16"/>
  <c r="AC7" i="16"/>
  <c r="AC6" i="16"/>
  <c r="AC5" i="16"/>
  <c r="AC4" i="16"/>
  <c r="AC3" i="16"/>
  <c r="AB8" i="16"/>
  <c r="AB7" i="16"/>
  <c r="AB6" i="16"/>
  <c r="AB5" i="16"/>
  <c r="AB4" i="16"/>
  <c r="AB3" i="16"/>
  <c r="AA8" i="16"/>
  <c r="AA7" i="16"/>
  <c r="AA6" i="16"/>
  <c r="AA5" i="16"/>
  <c r="AA4" i="16"/>
  <c r="AA3" i="16"/>
  <c r="Z8" i="16"/>
  <c r="Z7" i="16"/>
  <c r="Z6" i="16"/>
  <c r="Z5" i="16"/>
  <c r="Z4" i="16"/>
  <c r="Z3" i="16"/>
  <c r="Y8" i="16"/>
  <c r="Y7" i="16"/>
  <c r="Y6" i="16"/>
  <c r="Y5" i="16"/>
  <c r="Y4" i="16"/>
  <c r="Y3" i="16"/>
  <c r="X8" i="16"/>
  <c r="X7" i="16"/>
  <c r="X6" i="16"/>
  <c r="X5" i="16"/>
  <c r="X4" i="16"/>
  <c r="X3" i="16"/>
  <c r="W8" i="16"/>
  <c r="W7" i="16"/>
  <c r="W6" i="16"/>
  <c r="W5" i="16"/>
  <c r="W4" i="16"/>
  <c r="W3" i="16"/>
  <c r="V8" i="16"/>
  <c r="V7" i="16"/>
  <c r="V6" i="16"/>
  <c r="V5" i="16"/>
  <c r="V4" i="16"/>
  <c r="V3" i="16"/>
  <c r="U8" i="16"/>
  <c r="U7" i="16"/>
  <c r="U6" i="16"/>
  <c r="U5" i="16"/>
  <c r="U4" i="16"/>
  <c r="U3" i="16"/>
  <c r="T8" i="16"/>
  <c r="T7" i="16"/>
  <c r="T6" i="16"/>
  <c r="T5" i="16"/>
  <c r="T4" i="16"/>
  <c r="T3" i="16"/>
  <c r="S8" i="16"/>
  <c r="S7" i="16"/>
  <c r="S6" i="16"/>
  <c r="S5" i="16"/>
  <c r="S4" i="16"/>
  <c r="S3" i="16"/>
  <c r="R8" i="16"/>
  <c r="R7" i="16"/>
  <c r="R6" i="16"/>
  <c r="R5" i="16"/>
  <c r="R4" i="16"/>
  <c r="R3" i="16"/>
  <c r="Q8" i="16"/>
  <c r="Q7" i="16"/>
  <c r="Q6" i="16"/>
  <c r="Q5" i="16"/>
  <c r="Q4" i="16"/>
  <c r="Q3" i="16"/>
  <c r="P8" i="16"/>
  <c r="P7" i="16"/>
  <c r="P6" i="16"/>
  <c r="P5" i="16"/>
  <c r="P4" i="16"/>
  <c r="P3" i="16"/>
  <c r="O8" i="16"/>
  <c r="O7" i="16"/>
  <c r="O6" i="16"/>
  <c r="O5" i="16"/>
  <c r="O4" i="16"/>
  <c r="O3" i="16"/>
  <c r="N8" i="16"/>
  <c r="N7" i="16"/>
  <c r="N6" i="16"/>
  <c r="N5" i="16"/>
  <c r="N4" i="16"/>
  <c r="N3" i="16"/>
  <c r="M8" i="16"/>
  <c r="M7" i="16"/>
  <c r="M6" i="16"/>
  <c r="M5" i="16"/>
  <c r="M4" i="16"/>
  <c r="M3" i="16"/>
  <c r="L8" i="16"/>
  <c r="L7" i="16"/>
  <c r="L6" i="16"/>
  <c r="L5" i="16"/>
  <c r="L4" i="16"/>
  <c r="L3" i="16"/>
  <c r="K8" i="16"/>
  <c r="K7" i="16"/>
  <c r="K6" i="16"/>
  <c r="K5" i="16"/>
  <c r="K4" i="16"/>
  <c r="K3" i="16"/>
  <c r="J8" i="16"/>
  <c r="J7" i="16"/>
  <c r="J6" i="16"/>
  <c r="J5" i="16"/>
  <c r="J4" i="16"/>
  <c r="J3" i="16"/>
  <c r="I8" i="16"/>
  <c r="I7" i="16"/>
  <c r="I6" i="16"/>
  <c r="I5" i="16"/>
  <c r="I4" i="16"/>
  <c r="I3" i="16"/>
  <c r="H8" i="16"/>
  <c r="H7" i="16"/>
  <c r="H6" i="16"/>
  <c r="H5" i="16"/>
  <c r="H4" i="16"/>
  <c r="H3" i="16"/>
  <c r="G8" i="16"/>
  <c r="G7" i="16"/>
  <c r="G6" i="16"/>
  <c r="G5" i="16"/>
  <c r="G4" i="16"/>
  <c r="G3" i="16"/>
  <c r="F8" i="16"/>
  <c r="F7" i="16"/>
  <c r="F6" i="16"/>
  <c r="F5" i="16"/>
  <c r="F4" i="16"/>
  <c r="F3" i="16"/>
  <c r="E8" i="16"/>
  <c r="E7" i="16"/>
  <c r="E6" i="16"/>
  <c r="E5" i="16"/>
  <c r="E4" i="16"/>
  <c r="E3" i="16"/>
  <c r="D8" i="16"/>
  <c r="D7" i="16"/>
  <c r="D6" i="16"/>
  <c r="D5" i="16"/>
  <c r="D4" i="16"/>
  <c r="D3" i="16"/>
  <c r="C1" i="15" a="1"/>
  <c r="E1" i="15" a="1"/>
  <c r="F1" i="15" a="1"/>
  <c r="D1" i="6" a="1"/>
  <c r="L1" i="13" a="1"/>
  <c r="G1" i="7" a="1"/>
  <c r="J1" i="15" a="1"/>
  <c r="B1" i="13" a="1"/>
  <c r="F1" i="7" a="1"/>
  <c r="F1" i="12" a="1"/>
  <c r="H1" i="7" a="1"/>
  <c r="H1" i="12" a="1"/>
  <c r="E1" i="7" a="1"/>
  <c r="J1" i="13" a="1"/>
  <c r="C1" i="7" a="1"/>
  <c r="M1" i="15" a="1"/>
  <c r="F1" i="13" a="1"/>
  <c r="K1" i="15" a="1"/>
  <c r="I1" i="6" a="1"/>
  <c r="E1" i="6" a="1"/>
  <c r="J1" i="12" a="1"/>
  <c r="G1" i="6" a="1"/>
  <c r="L1" i="12" a="1"/>
  <c r="H1" i="13" a="1"/>
  <c r="G1" i="15" a="1"/>
  <c r="D1" i="15" a="1"/>
  <c r="D1" i="12" a="1"/>
  <c r="H1" i="6" a="1"/>
  <c r="D1" i="7" a="1"/>
  <c r="F1" i="6" a="1"/>
  <c r="D1" i="13" a="1"/>
  <c r="L1" i="15" a="1"/>
  <c r="G1" i="15" l="1"/>
  <c r="F1" i="15"/>
  <c r="E1" i="15"/>
  <c r="D1" i="15"/>
  <c r="C1" i="15"/>
  <c r="L1" i="15"/>
  <c r="K1" i="15"/>
  <c r="M1" i="15"/>
  <c r="J1" i="15"/>
  <c r="H1" i="7"/>
  <c r="G1" i="7"/>
  <c r="E1" i="7"/>
  <c r="F1" i="7"/>
  <c r="D1" i="7"/>
  <c r="C1" i="7"/>
  <c r="D1" i="13"/>
  <c r="H1" i="13"/>
  <c r="L1" i="13"/>
  <c r="J1" i="13"/>
  <c r="F1" i="13"/>
  <c r="B1" i="13"/>
  <c r="H1" i="6"/>
  <c r="F1" i="6"/>
  <c r="G1" i="6"/>
  <c r="E1" i="6"/>
  <c r="D1" i="6"/>
  <c r="H1" i="12"/>
  <c r="L1" i="12"/>
  <c r="F1" i="12"/>
  <c r="J1" i="12"/>
  <c r="D1" i="12"/>
  <c r="I1" i="6"/>
  <c r="CJ1" i="12" a="1"/>
  <c r="BT1" i="12" a="1"/>
  <c r="AZ1" i="13" a="1"/>
  <c r="AA1" i="6" a="1"/>
  <c r="AD1" i="12" a="1"/>
  <c r="CH1" i="12" a="1"/>
  <c r="AC1" i="7" a="1"/>
  <c r="Q1" i="6" a="1"/>
  <c r="N1" i="6" a="1"/>
  <c r="CT1" i="12" a="1"/>
  <c r="U1" i="6" a="1"/>
  <c r="AL1" i="13" a="1"/>
  <c r="AL1" i="6" a="1"/>
  <c r="N1" i="7" a="1"/>
  <c r="P1" i="6" a="1"/>
  <c r="W1" i="7" a="1"/>
  <c r="BZ1" i="12" a="1"/>
  <c r="AY1" i="7" a="1"/>
  <c r="Z1" i="12" a="1"/>
  <c r="CP1" i="12" a="1"/>
  <c r="AO1" i="7" a="1"/>
  <c r="BF1" i="12" a="1"/>
  <c r="CB1" i="12" a="1"/>
  <c r="AH1" i="12" a="1"/>
  <c r="AE1" i="7" a="1"/>
  <c r="BL1" i="12" a="1"/>
  <c r="AD1" i="6" a="1"/>
  <c r="AN1" i="6" a="1"/>
  <c r="CF1" i="12" a="1"/>
  <c r="AW1" i="7" a="1"/>
  <c r="Q1" i="7" a="1"/>
  <c r="CZ1" i="12" a="1"/>
  <c r="BD1" i="7" a="1"/>
  <c r="BB1" i="12" a="1"/>
  <c r="CV1" i="12" a="1"/>
  <c r="Z1" i="6" a="1"/>
  <c r="P1" i="7" a="1"/>
  <c r="AL1" i="12" a="1"/>
  <c r="CL1" i="12" a="1"/>
  <c r="R1" i="6" a="1"/>
  <c r="AN1" i="12" a="1"/>
  <c r="AF1" i="7" a="1"/>
  <c r="AP1" i="7" a="1"/>
  <c r="AV1" i="13" a="1"/>
  <c r="BX1" i="12" a="1"/>
  <c r="AC1" i="6" a="1"/>
  <c r="V1" i="7" a="1"/>
  <c r="AB1" i="13" a="1"/>
  <c r="AP1" i="12" a="1"/>
  <c r="BD1" i="12" a="1"/>
  <c r="AF1" i="12" a="1"/>
  <c r="AM1" i="7" a="1"/>
  <c r="AR1" i="7" a="1"/>
  <c r="V1" i="6" a="1"/>
  <c r="AD1" i="7" a="1"/>
  <c r="AR1" i="13" a="1"/>
  <c r="AG1" i="6" a="1"/>
  <c r="AF1" i="6" a="1"/>
  <c r="AJ1" i="13" a="1"/>
  <c r="AT1" i="13" a="1"/>
  <c r="BD1" i="13" a="1"/>
  <c r="CN1" i="12" a="1"/>
  <c r="AB1" i="12" a="1"/>
  <c r="X1" i="12" a="1"/>
  <c r="AJ1" i="6" a="1"/>
  <c r="AX1" i="12" a="1"/>
  <c r="U1" i="7" a="1"/>
  <c r="AR1" i="12" a="1"/>
  <c r="DF1" i="12" a="1"/>
  <c r="AJ1" i="7" a="1"/>
  <c r="AZ1" i="7" a="1"/>
  <c r="CX1" i="12" a="1"/>
  <c r="AB1" i="7" a="1"/>
  <c r="T1" i="6" a="1"/>
  <c r="AJ1" i="12" a="1"/>
  <c r="AG1" i="7" a="1"/>
  <c r="AB1" i="6" a="1"/>
  <c r="AF1" i="13" a="1"/>
  <c r="BF1" i="7" a="1"/>
  <c r="AK1" i="7" a="1"/>
  <c r="AZ1" i="12" a="1"/>
  <c r="O1" i="7" a="1"/>
  <c r="AN1" i="13" a="1"/>
  <c r="W1" i="6" a="1"/>
  <c r="AQ1" i="7" a="1"/>
  <c r="AA1" i="7" a="1"/>
  <c r="X1" i="6" a="1"/>
  <c r="AT1" i="7" a="1"/>
  <c r="S1" i="6" a="1"/>
  <c r="AK1" i="6" a="1"/>
  <c r="Y1" i="7" a="1"/>
  <c r="AX1" i="13" a="1"/>
  <c r="Z1" i="7" a="1"/>
  <c r="AL1" i="7" a="1"/>
  <c r="AI1" i="7" a="1"/>
  <c r="AP1" i="6" a="1"/>
  <c r="BN1" i="12" a="1"/>
  <c r="BP1" i="12" a="1"/>
  <c r="AE1" i="6" a="1"/>
  <c r="BC1" i="7" a="1"/>
  <c r="AH1" i="7" a="1"/>
  <c r="BV1" i="12" a="1"/>
  <c r="BE1" i="7" a="1"/>
  <c r="X1" i="7" a="1"/>
  <c r="BJ1" i="12" a="1"/>
  <c r="AO1" i="6" a="1"/>
  <c r="BH1" i="12" a="1"/>
  <c r="AD1" i="13" a="1"/>
  <c r="R1" i="7" a="1"/>
  <c r="CR1" i="12" a="1"/>
  <c r="AS1" i="7" a="1"/>
  <c r="AU1" i="7" a="1"/>
  <c r="BA1" i="7" a="1"/>
  <c r="M1" i="6" a="1"/>
  <c r="M1" i="7" a="1"/>
  <c r="Y1" i="6" a="1"/>
  <c r="AX1" i="7" a="1"/>
  <c r="BB1" i="7" a="1"/>
  <c r="T1" i="7" a="1"/>
  <c r="DD1" i="12" a="1"/>
  <c r="BR1" i="12" a="1"/>
  <c r="S1" i="7" a="1"/>
  <c r="AV1" i="7" a="1"/>
  <c r="AM1" i="6" a="1"/>
  <c r="O1" i="6" a="1"/>
  <c r="DB1" i="12" a="1"/>
  <c r="AV1" i="12" a="1"/>
  <c r="AT1" i="12" a="1"/>
  <c r="X1" i="13" a="1"/>
  <c r="AH1" i="6" a="1"/>
  <c r="BB1" i="13" a="1"/>
  <c r="AN1" i="7" a="1"/>
  <c r="CD1" i="12" a="1"/>
  <c r="AP1" i="13" a="1"/>
  <c r="Z1" i="13" a="1"/>
  <c r="AI1" i="6" a="1"/>
  <c r="AH1" i="13" a="1"/>
  <c r="D2" i="15" l="1"/>
  <c r="D10" i="15"/>
  <c r="D3" i="15"/>
  <c r="D5" i="15"/>
  <c r="D7" i="15"/>
  <c r="D9" i="15"/>
  <c r="D11" i="15"/>
  <c r="D13" i="15"/>
  <c r="D15" i="15"/>
  <c r="D17" i="15"/>
  <c r="D14" i="15"/>
  <c r="D12" i="15"/>
  <c r="D4" i="15"/>
  <c r="D6" i="15"/>
  <c r="D8" i="15"/>
  <c r="D16" i="15"/>
  <c r="F2" i="15"/>
  <c r="F16" i="15"/>
  <c r="F12" i="15"/>
  <c r="F3" i="15"/>
  <c r="F5" i="15"/>
  <c r="F7" i="15"/>
  <c r="F9" i="15"/>
  <c r="F11" i="15"/>
  <c r="F13" i="15"/>
  <c r="F15" i="15"/>
  <c r="F17" i="15"/>
  <c r="F6" i="15"/>
  <c r="F14" i="15"/>
  <c r="F4" i="15"/>
  <c r="F10" i="15"/>
  <c r="F8" i="15"/>
  <c r="B3" i="15"/>
  <c r="B5" i="15"/>
  <c r="B7" i="15"/>
  <c r="B9" i="15"/>
  <c r="B11" i="15"/>
  <c r="B13" i="15"/>
  <c r="B15" i="15"/>
  <c r="B17" i="15"/>
  <c r="B4" i="15"/>
  <c r="B6" i="15"/>
  <c r="B8" i="15"/>
  <c r="B10" i="15"/>
  <c r="B12" i="15"/>
  <c r="B14" i="15"/>
  <c r="B16" i="15"/>
  <c r="C2" i="15"/>
  <c r="C3" i="15"/>
  <c r="C5" i="15"/>
  <c r="C7" i="15"/>
  <c r="C9" i="15"/>
  <c r="C11" i="15"/>
  <c r="C13" i="15"/>
  <c r="C15" i="15"/>
  <c r="C17" i="15"/>
  <c r="C14" i="15"/>
  <c r="C12" i="15"/>
  <c r="C16" i="15"/>
  <c r="C8" i="15"/>
  <c r="C10" i="15"/>
  <c r="C6" i="15"/>
  <c r="C4" i="15"/>
  <c r="E2" i="15"/>
  <c r="E10" i="15"/>
  <c r="E14" i="15"/>
  <c r="E3" i="15"/>
  <c r="E5" i="15"/>
  <c r="E7" i="15"/>
  <c r="E9" i="15"/>
  <c r="E11" i="15"/>
  <c r="E13" i="15"/>
  <c r="E15" i="15"/>
  <c r="E17" i="15"/>
  <c r="E6" i="15"/>
  <c r="E12" i="15"/>
  <c r="E8" i="15"/>
  <c r="E16" i="15"/>
  <c r="E4" i="15"/>
  <c r="G2" i="15"/>
  <c r="G14" i="15"/>
  <c r="G4" i="15"/>
  <c r="G12" i="15"/>
  <c r="G8" i="15"/>
  <c r="G6" i="15"/>
  <c r="G3" i="15"/>
  <c r="G5" i="15"/>
  <c r="G7" i="15"/>
  <c r="G9" i="15"/>
  <c r="G11" i="15"/>
  <c r="G13" i="15"/>
  <c r="G15" i="15"/>
  <c r="G17" i="15"/>
  <c r="G10" i="15"/>
  <c r="G16" i="15"/>
  <c r="D167" i="7"/>
  <c r="D132" i="7"/>
  <c r="D144" i="7"/>
  <c r="D137" i="7"/>
  <c r="D142" i="7"/>
  <c r="D135" i="7"/>
  <c r="D140" i="7"/>
  <c r="D133" i="7"/>
  <c r="D145" i="7"/>
  <c r="D138" i="7"/>
  <c r="D139" i="7"/>
  <c r="D143" i="7"/>
  <c r="D136" i="7"/>
  <c r="D141" i="7"/>
  <c r="D134" i="7"/>
  <c r="D146" i="7"/>
  <c r="F167" i="7"/>
  <c r="F134" i="7"/>
  <c r="F146" i="7"/>
  <c r="F139" i="7"/>
  <c r="F132" i="7"/>
  <c r="F144" i="7"/>
  <c r="F137" i="7"/>
  <c r="F142" i="7"/>
  <c r="F135" i="7"/>
  <c r="F140" i="7"/>
  <c r="F133" i="7"/>
  <c r="F145" i="7"/>
  <c r="F138" i="7"/>
  <c r="F141" i="7"/>
  <c r="F143" i="7"/>
  <c r="F136" i="7"/>
  <c r="E167" i="7"/>
  <c r="E139" i="7"/>
  <c r="E132" i="7"/>
  <c r="E144" i="7"/>
  <c r="E137" i="7"/>
  <c r="E142" i="7"/>
  <c r="E146" i="7"/>
  <c r="E135" i="7"/>
  <c r="E140" i="7"/>
  <c r="E133" i="7"/>
  <c r="E145" i="7"/>
  <c r="E138" i="7"/>
  <c r="E143" i="7"/>
  <c r="E136" i="7"/>
  <c r="E141" i="7"/>
  <c r="E134" i="7"/>
  <c r="G167" i="7"/>
  <c r="G141" i="7"/>
  <c r="G134" i="7"/>
  <c r="G146" i="7"/>
  <c r="G139" i="7"/>
  <c r="G132" i="7"/>
  <c r="G144" i="7"/>
  <c r="G137" i="7"/>
  <c r="G142" i="7"/>
  <c r="G135" i="7"/>
  <c r="G140" i="7"/>
  <c r="G136" i="7"/>
  <c r="G133" i="7"/>
  <c r="G145" i="7"/>
  <c r="G138" i="7"/>
  <c r="G143" i="7"/>
  <c r="H167" i="7"/>
  <c r="H136" i="7"/>
  <c r="H141" i="7"/>
  <c r="H134" i="7"/>
  <c r="H146" i="7"/>
  <c r="H139" i="7"/>
  <c r="H132" i="7"/>
  <c r="H144" i="7"/>
  <c r="H137" i="7"/>
  <c r="H143" i="7"/>
  <c r="H142" i="7"/>
  <c r="H135" i="7"/>
  <c r="H140" i="7"/>
  <c r="H133" i="7"/>
  <c r="H145" i="7"/>
  <c r="H138" i="7"/>
  <c r="C167" i="7"/>
  <c r="C132" i="7"/>
  <c r="C144" i="7"/>
  <c r="C146" i="7"/>
  <c r="C133" i="7"/>
  <c r="C145" i="7"/>
  <c r="C134" i="7"/>
  <c r="C135" i="7"/>
  <c r="C147" i="7"/>
  <c r="C136" i="7"/>
  <c r="C140" i="7"/>
  <c r="C137" i="7"/>
  <c r="C138" i="7"/>
  <c r="C139" i="7"/>
  <c r="C141" i="7"/>
  <c r="C142" i="7"/>
  <c r="C143" i="7"/>
  <c r="H165" i="7"/>
  <c r="H166" i="7"/>
  <c r="G165" i="7"/>
  <c r="G166" i="7"/>
  <c r="F165" i="7"/>
  <c r="F166" i="7"/>
  <c r="E165" i="7"/>
  <c r="E166" i="7"/>
  <c r="D165" i="7"/>
  <c r="D166" i="7"/>
  <c r="C165" i="7"/>
  <c r="C166" i="7"/>
  <c r="H163" i="7"/>
  <c r="H164" i="7"/>
  <c r="G163" i="7"/>
  <c r="G164" i="7"/>
  <c r="F163" i="7"/>
  <c r="F164" i="7"/>
  <c r="E163" i="7"/>
  <c r="E164" i="7"/>
  <c r="D163" i="7"/>
  <c r="D164" i="7"/>
  <c r="C163" i="7"/>
  <c r="C164" i="7"/>
  <c r="H161" i="7"/>
  <c r="H162" i="7"/>
  <c r="G161" i="7"/>
  <c r="G162" i="7"/>
  <c r="F161" i="7"/>
  <c r="F162" i="7"/>
  <c r="E161" i="7"/>
  <c r="E162" i="7"/>
  <c r="D161" i="7"/>
  <c r="D162" i="7"/>
  <c r="C161" i="7"/>
  <c r="C162" i="7"/>
  <c r="H159" i="7"/>
  <c r="H160" i="7"/>
  <c r="G159" i="7"/>
  <c r="G160" i="7"/>
  <c r="F159" i="7"/>
  <c r="F160" i="7"/>
  <c r="E159" i="7"/>
  <c r="E160" i="7"/>
  <c r="D159" i="7"/>
  <c r="D160" i="7"/>
  <c r="C159" i="7"/>
  <c r="C160" i="7"/>
  <c r="H157" i="7"/>
  <c r="H158" i="7"/>
  <c r="G157" i="7"/>
  <c r="G158" i="7"/>
  <c r="F157" i="7"/>
  <c r="F158" i="7"/>
  <c r="E157" i="7"/>
  <c r="E158" i="7"/>
  <c r="D157" i="7"/>
  <c r="D158" i="7"/>
  <c r="C157" i="7"/>
  <c r="C158" i="7"/>
  <c r="H155" i="7"/>
  <c r="H156" i="7"/>
  <c r="G155" i="7"/>
  <c r="G156" i="7"/>
  <c r="F155" i="7"/>
  <c r="F156" i="7"/>
  <c r="E155" i="7"/>
  <c r="E156" i="7"/>
  <c r="D155" i="7"/>
  <c r="D156" i="7"/>
  <c r="C155" i="7"/>
  <c r="C156" i="7"/>
  <c r="H153" i="7"/>
  <c r="H154" i="7"/>
  <c r="G153" i="7"/>
  <c r="G154" i="7"/>
  <c r="F153" i="7"/>
  <c r="F154" i="7"/>
  <c r="E153" i="7"/>
  <c r="E154" i="7"/>
  <c r="D153" i="7"/>
  <c r="D154" i="7"/>
  <c r="C153" i="7"/>
  <c r="C154" i="7"/>
  <c r="H151" i="7"/>
  <c r="H152" i="7"/>
  <c r="G151" i="7"/>
  <c r="G152" i="7"/>
  <c r="F151" i="7"/>
  <c r="F152" i="7"/>
  <c r="E151" i="7"/>
  <c r="E152" i="7"/>
  <c r="D151" i="7"/>
  <c r="D152" i="7"/>
  <c r="C151" i="7"/>
  <c r="C152" i="7"/>
  <c r="H149" i="7"/>
  <c r="H150" i="7"/>
  <c r="G149" i="7"/>
  <c r="G150" i="7"/>
  <c r="F149" i="7"/>
  <c r="F150" i="7"/>
  <c r="E149" i="7"/>
  <c r="E150" i="7"/>
  <c r="D149" i="7"/>
  <c r="D150" i="7"/>
  <c r="C149" i="7"/>
  <c r="C150" i="7"/>
  <c r="H147" i="7"/>
  <c r="H148" i="7"/>
  <c r="G147" i="7"/>
  <c r="G148" i="7"/>
  <c r="F147" i="7"/>
  <c r="F148" i="7"/>
  <c r="E147" i="7"/>
  <c r="E148" i="7"/>
  <c r="D147" i="7"/>
  <c r="D148" i="7"/>
  <c r="C148" i="7"/>
  <c r="H130" i="7"/>
  <c r="H131" i="7"/>
  <c r="G130" i="7"/>
  <c r="G131" i="7"/>
  <c r="F130" i="7"/>
  <c r="F131" i="7"/>
  <c r="E130" i="7"/>
  <c r="E131" i="7"/>
  <c r="D130" i="7"/>
  <c r="D131" i="7"/>
  <c r="C130" i="7"/>
  <c r="C131" i="7"/>
  <c r="H128" i="7"/>
  <c r="H129" i="7"/>
  <c r="G128" i="7"/>
  <c r="G129" i="7"/>
  <c r="F128" i="7"/>
  <c r="F129" i="7"/>
  <c r="E128" i="7"/>
  <c r="E129" i="7"/>
  <c r="D128" i="7"/>
  <c r="D129" i="7"/>
  <c r="C128" i="7"/>
  <c r="C129" i="7"/>
  <c r="H126" i="7"/>
  <c r="H127" i="7"/>
  <c r="G126" i="7"/>
  <c r="G127" i="7"/>
  <c r="F126" i="7"/>
  <c r="F127" i="7"/>
  <c r="E126" i="7"/>
  <c r="E127" i="7"/>
  <c r="D126" i="7"/>
  <c r="D127" i="7"/>
  <c r="C126" i="7"/>
  <c r="C127" i="7"/>
  <c r="H124" i="7"/>
  <c r="H125" i="7"/>
  <c r="G124" i="7"/>
  <c r="G125" i="7"/>
  <c r="F124" i="7"/>
  <c r="F125" i="7"/>
  <c r="E124" i="7"/>
  <c r="E125" i="7"/>
  <c r="D124" i="7"/>
  <c r="D125" i="7"/>
  <c r="C124" i="7"/>
  <c r="C125" i="7"/>
  <c r="H122" i="7"/>
  <c r="H123" i="7"/>
  <c r="G122" i="7"/>
  <c r="G123" i="7"/>
  <c r="F122" i="7"/>
  <c r="F123" i="7"/>
  <c r="E122" i="7"/>
  <c r="E123" i="7"/>
  <c r="D122" i="7"/>
  <c r="D123" i="7"/>
  <c r="C122" i="7"/>
  <c r="C123" i="7"/>
  <c r="H120" i="7"/>
  <c r="H121" i="7"/>
  <c r="G120" i="7"/>
  <c r="G121" i="7"/>
  <c r="F120" i="7"/>
  <c r="F121" i="7"/>
  <c r="E120" i="7"/>
  <c r="E121" i="7"/>
  <c r="D120" i="7"/>
  <c r="D121" i="7"/>
  <c r="C120" i="7"/>
  <c r="C121" i="7"/>
  <c r="H118" i="7"/>
  <c r="H119" i="7"/>
  <c r="G118" i="7"/>
  <c r="G119" i="7"/>
  <c r="F118" i="7"/>
  <c r="F119" i="7"/>
  <c r="E118" i="7"/>
  <c r="E119" i="7"/>
  <c r="D118" i="7"/>
  <c r="D119" i="7"/>
  <c r="C118" i="7"/>
  <c r="C119" i="7"/>
  <c r="H116" i="7"/>
  <c r="H117" i="7"/>
  <c r="G116" i="7"/>
  <c r="G117" i="7"/>
  <c r="F116" i="7"/>
  <c r="F117" i="7"/>
  <c r="E116" i="7"/>
  <c r="E117" i="7"/>
  <c r="D116" i="7"/>
  <c r="D117" i="7"/>
  <c r="C116" i="7"/>
  <c r="C117" i="7"/>
  <c r="H114" i="7"/>
  <c r="H115" i="7"/>
  <c r="G114" i="7"/>
  <c r="G115" i="7"/>
  <c r="F114" i="7"/>
  <c r="F115" i="7"/>
  <c r="E114" i="7"/>
  <c r="E115" i="7"/>
  <c r="D114" i="7"/>
  <c r="D115" i="7"/>
  <c r="C114" i="7"/>
  <c r="C115" i="7"/>
  <c r="H112" i="7"/>
  <c r="H113" i="7"/>
  <c r="G112" i="7"/>
  <c r="G113" i="7"/>
  <c r="F112" i="7"/>
  <c r="F113" i="7"/>
  <c r="E112" i="7"/>
  <c r="E113" i="7"/>
  <c r="D112" i="7"/>
  <c r="D113" i="7"/>
  <c r="C112" i="7"/>
  <c r="C113" i="7"/>
  <c r="H110" i="7"/>
  <c r="H111" i="7"/>
  <c r="G110" i="7"/>
  <c r="G111" i="7"/>
  <c r="F110" i="7"/>
  <c r="F111" i="7"/>
  <c r="E110" i="7"/>
  <c r="E111" i="7"/>
  <c r="D110" i="7"/>
  <c r="D111" i="7"/>
  <c r="C110" i="7"/>
  <c r="C111" i="7"/>
  <c r="H108" i="7"/>
  <c r="H109" i="7"/>
  <c r="G108" i="7"/>
  <c r="G109" i="7"/>
  <c r="F108" i="7"/>
  <c r="F109" i="7"/>
  <c r="E108" i="7"/>
  <c r="E109" i="7"/>
  <c r="D108" i="7"/>
  <c r="D109" i="7"/>
  <c r="C108" i="7"/>
  <c r="C109" i="7"/>
  <c r="H106" i="7"/>
  <c r="H107" i="7"/>
  <c r="G106" i="7"/>
  <c r="G107" i="7"/>
  <c r="F106" i="7"/>
  <c r="F107" i="7"/>
  <c r="E106" i="7"/>
  <c r="E107" i="7"/>
  <c r="D106" i="7"/>
  <c r="D107" i="7"/>
  <c r="C106" i="7"/>
  <c r="C107" i="7"/>
  <c r="H104" i="7"/>
  <c r="H105" i="7"/>
  <c r="G104" i="7"/>
  <c r="G105" i="7"/>
  <c r="F104" i="7"/>
  <c r="F105" i="7"/>
  <c r="E104" i="7"/>
  <c r="E105" i="7"/>
  <c r="D104" i="7"/>
  <c r="D105" i="7"/>
  <c r="C104" i="7"/>
  <c r="C105" i="7"/>
  <c r="H102" i="7"/>
  <c r="H103" i="7"/>
  <c r="G102" i="7"/>
  <c r="G103" i="7"/>
  <c r="F102" i="7"/>
  <c r="F103" i="7"/>
  <c r="E102" i="7"/>
  <c r="E103" i="7"/>
  <c r="D102" i="7"/>
  <c r="D103" i="7"/>
  <c r="C102" i="7"/>
  <c r="C103" i="7"/>
  <c r="H100" i="7"/>
  <c r="H101" i="7"/>
  <c r="G100" i="7"/>
  <c r="G101" i="7"/>
  <c r="F100" i="7"/>
  <c r="F101" i="7"/>
  <c r="E100" i="7"/>
  <c r="E101" i="7"/>
  <c r="D100" i="7"/>
  <c r="D101" i="7"/>
  <c r="C100" i="7"/>
  <c r="C101" i="7"/>
  <c r="H98" i="7"/>
  <c r="H99" i="7"/>
  <c r="G98" i="7"/>
  <c r="G99" i="7"/>
  <c r="F98" i="7"/>
  <c r="F99" i="7"/>
  <c r="E98" i="7"/>
  <c r="E99" i="7"/>
  <c r="D98" i="7"/>
  <c r="D99" i="7"/>
  <c r="C98" i="7"/>
  <c r="C99" i="7"/>
  <c r="H96" i="7"/>
  <c r="H97" i="7"/>
  <c r="G96" i="7"/>
  <c r="G97" i="7"/>
  <c r="F96" i="7"/>
  <c r="F97" i="7"/>
  <c r="E96" i="7"/>
  <c r="E97" i="7"/>
  <c r="D96" i="7"/>
  <c r="D97" i="7"/>
  <c r="C96" i="7"/>
  <c r="C97" i="7"/>
  <c r="H94" i="7"/>
  <c r="H95" i="7"/>
  <c r="G94" i="7"/>
  <c r="G95" i="7"/>
  <c r="F94" i="7"/>
  <c r="F95" i="7"/>
  <c r="E94" i="7"/>
  <c r="E95" i="7"/>
  <c r="D94" i="7"/>
  <c r="D95" i="7"/>
  <c r="C94" i="7"/>
  <c r="C95" i="7"/>
  <c r="H92" i="7"/>
  <c r="H93" i="7"/>
  <c r="G92" i="7"/>
  <c r="G93" i="7"/>
  <c r="F92" i="7"/>
  <c r="F93" i="7"/>
  <c r="E92" i="7"/>
  <c r="E93" i="7"/>
  <c r="D92" i="7"/>
  <c r="D93" i="7"/>
  <c r="C92" i="7"/>
  <c r="C93" i="7"/>
  <c r="H90" i="7"/>
  <c r="H91" i="7"/>
  <c r="G90" i="7"/>
  <c r="G91" i="7"/>
  <c r="F90" i="7"/>
  <c r="F91" i="7"/>
  <c r="E90" i="7"/>
  <c r="E91" i="7"/>
  <c r="D90" i="7"/>
  <c r="D91" i="7"/>
  <c r="C90" i="7"/>
  <c r="C91" i="7"/>
  <c r="H88" i="7"/>
  <c r="H89" i="7"/>
  <c r="G88" i="7"/>
  <c r="G89" i="7"/>
  <c r="F88" i="7"/>
  <c r="F89" i="7"/>
  <c r="E88" i="7"/>
  <c r="E89" i="7"/>
  <c r="D88" i="7"/>
  <c r="D89" i="7"/>
  <c r="C88" i="7"/>
  <c r="C89" i="7"/>
  <c r="H86" i="7"/>
  <c r="H87" i="7"/>
  <c r="G86" i="7"/>
  <c r="G87" i="7"/>
  <c r="F86" i="7"/>
  <c r="F87" i="7"/>
  <c r="E86" i="7"/>
  <c r="E87" i="7"/>
  <c r="D86" i="7"/>
  <c r="D87" i="7"/>
  <c r="C86" i="7"/>
  <c r="C87" i="7"/>
  <c r="H84" i="7"/>
  <c r="H85" i="7"/>
  <c r="G84" i="7"/>
  <c r="G85" i="7"/>
  <c r="F84" i="7"/>
  <c r="F85" i="7"/>
  <c r="E84" i="7"/>
  <c r="E85" i="7"/>
  <c r="D84" i="7"/>
  <c r="D85" i="7"/>
  <c r="C84" i="7"/>
  <c r="C85" i="7"/>
  <c r="H82" i="7"/>
  <c r="H83" i="7"/>
  <c r="G82" i="7"/>
  <c r="G83" i="7"/>
  <c r="F82" i="7"/>
  <c r="F83" i="7"/>
  <c r="E82" i="7"/>
  <c r="E83" i="7"/>
  <c r="D82" i="7"/>
  <c r="D83" i="7"/>
  <c r="C82" i="7"/>
  <c r="C83" i="7"/>
  <c r="H80" i="7"/>
  <c r="H81" i="7"/>
  <c r="G80" i="7"/>
  <c r="G81" i="7"/>
  <c r="F80" i="7"/>
  <c r="F81" i="7"/>
  <c r="E80" i="7"/>
  <c r="E81" i="7"/>
  <c r="D80" i="7"/>
  <c r="D81" i="7"/>
  <c r="C80" i="7"/>
  <c r="C81" i="7"/>
  <c r="H78" i="7"/>
  <c r="H79" i="7"/>
  <c r="G78" i="7"/>
  <c r="G79" i="7"/>
  <c r="F78" i="7"/>
  <c r="F79" i="7"/>
  <c r="E78" i="7"/>
  <c r="E79" i="7"/>
  <c r="D78" i="7"/>
  <c r="D79" i="7"/>
  <c r="C78" i="7"/>
  <c r="C79" i="7"/>
  <c r="H76" i="7"/>
  <c r="H77" i="7"/>
  <c r="G76" i="7"/>
  <c r="G77" i="7"/>
  <c r="F76" i="7"/>
  <c r="F77" i="7"/>
  <c r="E76" i="7"/>
  <c r="E77" i="7"/>
  <c r="D76" i="7"/>
  <c r="D77" i="7"/>
  <c r="C76" i="7"/>
  <c r="C77" i="7"/>
  <c r="H74" i="7"/>
  <c r="H75" i="7"/>
  <c r="G74" i="7"/>
  <c r="G75" i="7"/>
  <c r="F74" i="7"/>
  <c r="F75" i="7"/>
  <c r="E74" i="7"/>
  <c r="E75" i="7"/>
  <c r="D74" i="7"/>
  <c r="D75" i="7"/>
  <c r="C74" i="7"/>
  <c r="C75" i="7"/>
  <c r="H72" i="7"/>
  <c r="H73" i="7"/>
  <c r="G72" i="7"/>
  <c r="G73" i="7"/>
  <c r="F72" i="7"/>
  <c r="F73" i="7"/>
  <c r="E72" i="7"/>
  <c r="E73" i="7"/>
  <c r="D72" i="7"/>
  <c r="D73" i="7"/>
  <c r="C72" i="7"/>
  <c r="C73" i="7"/>
  <c r="H70" i="7"/>
  <c r="H71" i="7"/>
  <c r="G70" i="7"/>
  <c r="G71" i="7"/>
  <c r="F70" i="7"/>
  <c r="F71" i="7"/>
  <c r="E70" i="7"/>
  <c r="E71" i="7"/>
  <c r="D70" i="7"/>
  <c r="D71" i="7"/>
  <c r="C70" i="7"/>
  <c r="C71" i="7"/>
  <c r="H68" i="7"/>
  <c r="H69" i="7"/>
  <c r="G68" i="7"/>
  <c r="G69" i="7"/>
  <c r="F68" i="7"/>
  <c r="F69" i="7"/>
  <c r="E68" i="7"/>
  <c r="E69" i="7"/>
  <c r="D68" i="7"/>
  <c r="D69" i="7"/>
  <c r="C68" i="7"/>
  <c r="C69" i="7"/>
  <c r="H66" i="7"/>
  <c r="H67" i="7"/>
  <c r="G66" i="7"/>
  <c r="G67" i="7"/>
  <c r="F66" i="7"/>
  <c r="F67" i="7"/>
  <c r="E66" i="7"/>
  <c r="E67" i="7"/>
  <c r="D66" i="7"/>
  <c r="D67" i="7"/>
  <c r="C66" i="7"/>
  <c r="C67" i="7"/>
  <c r="H64" i="7"/>
  <c r="H65" i="7"/>
  <c r="G64" i="7"/>
  <c r="G65" i="7"/>
  <c r="F64" i="7"/>
  <c r="F65" i="7"/>
  <c r="E64" i="7"/>
  <c r="E65" i="7"/>
  <c r="D64" i="7"/>
  <c r="D65" i="7"/>
  <c r="C64" i="7"/>
  <c r="C65" i="7"/>
  <c r="H62" i="7"/>
  <c r="H63" i="7"/>
  <c r="G62" i="7"/>
  <c r="G63" i="7"/>
  <c r="F62" i="7"/>
  <c r="F63" i="7"/>
  <c r="E62" i="7"/>
  <c r="E63" i="7"/>
  <c r="D62" i="7"/>
  <c r="D63" i="7"/>
  <c r="C62" i="7"/>
  <c r="C63" i="7"/>
  <c r="H60" i="7"/>
  <c r="H61" i="7"/>
  <c r="G60" i="7"/>
  <c r="G61" i="7"/>
  <c r="F60" i="7"/>
  <c r="F61" i="7"/>
  <c r="E60" i="7"/>
  <c r="E61" i="7"/>
  <c r="D60" i="7"/>
  <c r="D61" i="7"/>
  <c r="C60" i="7"/>
  <c r="C61" i="7"/>
  <c r="H58" i="7"/>
  <c r="H59" i="7"/>
  <c r="G58" i="7"/>
  <c r="G59" i="7"/>
  <c r="F58" i="7"/>
  <c r="F59" i="7"/>
  <c r="E58" i="7"/>
  <c r="E59" i="7"/>
  <c r="D58" i="7"/>
  <c r="D59" i="7"/>
  <c r="C58" i="7"/>
  <c r="C59" i="7"/>
  <c r="H56" i="7"/>
  <c r="H57" i="7"/>
  <c r="G56" i="7"/>
  <c r="G57" i="7"/>
  <c r="F56" i="7"/>
  <c r="F57" i="7"/>
  <c r="E56" i="7"/>
  <c r="E57" i="7"/>
  <c r="D56" i="7"/>
  <c r="D57" i="7"/>
  <c r="C56" i="7"/>
  <c r="C57" i="7"/>
  <c r="H54" i="7"/>
  <c r="H55" i="7"/>
  <c r="G54" i="7"/>
  <c r="G55" i="7"/>
  <c r="F54" i="7"/>
  <c r="F55" i="7"/>
  <c r="E54" i="7"/>
  <c r="E55" i="7"/>
  <c r="D54" i="7"/>
  <c r="D55" i="7"/>
  <c r="C54" i="7"/>
  <c r="C55" i="7"/>
  <c r="H52" i="7"/>
  <c r="H53" i="7"/>
  <c r="G52" i="7"/>
  <c r="G53" i="7"/>
  <c r="F52" i="7"/>
  <c r="F53" i="7"/>
  <c r="E52" i="7"/>
  <c r="E53" i="7"/>
  <c r="D52" i="7"/>
  <c r="D53" i="7"/>
  <c r="C52" i="7"/>
  <c r="C53" i="7"/>
  <c r="H50" i="7"/>
  <c r="H51" i="7"/>
  <c r="G50" i="7"/>
  <c r="G51" i="7"/>
  <c r="F50" i="7"/>
  <c r="F51" i="7"/>
  <c r="E50" i="7"/>
  <c r="E51" i="7"/>
  <c r="D50" i="7"/>
  <c r="D51" i="7"/>
  <c r="C50" i="7"/>
  <c r="C51" i="7"/>
  <c r="H48" i="7"/>
  <c r="H49" i="7"/>
  <c r="G48" i="7"/>
  <c r="G49" i="7"/>
  <c r="F48" i="7"/>
  <c r="F49" i="7"/>
  <c r="E48" i="7"/>
  <c r="E49" i="7"/>
  <c r="D48" i="7"/>
  <c r="D49" i="7"/>
  <c r="C48" i="7"/>
  <c r="C49" i="7"/>
  <c r="H46" i="7"/>
  <c r="H47" i="7"/>
  <c r="G46" i="7"/>
  <c r="G47" i="7"/>
  <c r="F46" i="7"/>
  <c r="F47" i="7"/>
  <c r="E46" i="7"/>
  <c r="E47" i="7"/>
  <c r="D46" i="7"/>
  <c r="D47" i="7"/>
  <c r="C46" i="7"/>
  <c r="C47" i="7"/>
  <c r="H44" i="7"/>
  <c r="H45" i="7"/>
  <c r="G44" i="7"/>
  <c r="G45" i="7"/>
  <c r="F44" i="7"/>
  <c r="F45" i="7"/>
  <c r="E44" i="7"/>
  <c r="E45" i="7"/>
  <c r="D44" i="7"/>
  <c r="D45" i="7"/>
  <c r="C44" i="7"/>
  <c r="C45" i="7"/>
  <c r="H42" i="7"/>
  <c r="H43" i="7"/>
  <c r="G42" i="7"/>
  <c r="G43" i="7"/>
  <c r="F42" i="7"/>
  <c r="F43" i="7"/>
  <c r="E42" i="7"/>
  <c r="E43" i="7"/>
  <c r="D42" i="7"/>
  <c r="D43" i="7"/>
  <c r="C42" i="7"/>
  <c r="C43" i="7"/>
  <c r="H40" i="7"/>
  <c r="H41" i="7"/>
  <c r="G40" i="7"/>
  <c r="G41" i="7"/>
  <c r="F40" i="7"/>
  <c r="F41" i="7"/>
  <c r="E40" i="7"/>
  <c r="E41" i="7"/>
  <c r="D40" i="7"/>
  <c r="D41" i="7"/>
  <c r="C40" i="7"/>
  <c r="C41" i="7"/>
  <c r="H38" i="7"/>
  <c r="H39" i="7"/>
  <c r="G38" i="7"/>
  <c r="G39" i="7"/>
  <c r="F38" i="7"/>
  <c r="F39" i="7"/>
  <c r="E38" i="7"/>
  <c r="E39" i="7"/>
  <c r="D38" i="7"/>
  <c r="D39" i="7"/>
  <c r="C38" i="7"/>
  <c r="C39" i="7"/>
  <c r="H36" i="7"/>
  <c r="H37" i="7"/>
  <c r="G36" i="7"/>
  <c r="G37" i="7"/>
  <c r="F36" i="7"/>
  <c r="F37" i="7"/>
  <c r="E36" i="7"/>
  <c r="E37" i="7"/>
  <c r="D36" i="7"/>
  <c r="D37" i="7"/>
  <c r="C36" i="7"/>
  <c r="C37" i="7"/>
  <c r="H34" i="7"/>
  <c r="H35" i="7"/>
  <c r="G34" i="7"/>
  <c r="G35" i="7"/>
  <c r="F34" i="7"/>
  <c r="F35" i="7"/>
  <c r="E34" i="7"/>
  <c r="E35" i="7"/>
  <c r="D34" i="7"/>
  <c r="D35" i="7"/>
  <c r="C34" i="7"/>
  <c r="C35" i="7"/>
  <c r="H32" i="7"/>
  <c r="H33" i="7"/>
  <c r="G32" i="7"/>
  <c r="G33" i="7"/>
  <c r="F32" i="7"/>
  <c r="F33" i="7"/>
  <c r="E32" i="7"/>
  <c r="E33" i="7"/>
  <c r="D32" i="7"/>
  <c r="D33" i="7"/>
  <c r="C32" i="7"/>
  <c r="C33" i="7"/>
  <c r="H30" i="7"/>
  <c r="H31" i="7"/>
  <c r="G30" i="7"/>
  <c r="G31" i="7"/>
  <c r="F30" i="7"/>
  <c r="F31" i="7"/>
  <c r="E30" i="7"/>
  <c r="E31" i="7"/>
  <c r="D30" i="7"/>
  <c r="D31" i="7"/>
  <c r="C30" i="7"/>
  <c r="C31" i="7"/>
  <c r="H28" i="7"/>
  <c r="H29" i="7"/>
  <c r="G28" i="7"/>
  <c r="G29" i="7"/>
  <c r="F28" i="7"/>
  <c r="F29" i="7"/>
  <c r="E28" i="7"/>
  <c r="E29" i="7"/>
  <c r="D28" i="7"/>
  <c r="D29" i="7"/>
  <c r="C28" i="7"/>
  <c r="C29" i="7"/>
  <c r="H26" i="7"/>
  <c r="H27" i="7"/>
  <c r="G26" i="7"/>
  <c r="G27" i="7"/>
  <c r="F26" i="7"/>
  <c r="F27" i="7"/>
  <c r="E26" i="7"/>
  <c r="E27" i="7"/>
  <c r="D26" i="7"/>
  <c r="D27" i="7"/>
  <c r="C26" i="7"/>
  <c r="C27" i="7"/>
  <c r="H24" i="7"/>
  <c r="H25" i="7"/>
  <c r="G24" i="7"/>
  <c r="G25" i="7"/>
  <c r="F24" i="7"/>
  <c r="F25" i="7"/>
  <c r="E24" i="7"/>
  <c r="E25" i="7"/>
  <c r="D24" i="7"/>
  <c r="D25" i="7"/>
  <c r="C24" i="7"/>
  <c r="C25" i="7"/>
  <c r="H22" i="7"/>
  <c r="H23" i="7"/>
  <c r="G22" i="7"/>
  <c r="G23" i="7"/>
  <c r="F22" i="7"/>
  <c r="F23" i="7"/>
  <c r="E22" i="7"/>
  <c r="E23" i="7"/>
  <c r="D22" i="7"/>
  <c r="D23" i="7"/>
  <c r="C22" i="7"/>
  <c r="C23" i="7"/>
  <c r="H20" i="7"/>
  <c r="H21" i="7"/>
  <c r="G20" i="7"/>
  <c r="G21" i="7"/>
  <c r="F20" i="7"/>
  <c r="F21" i="7"/>
  <c r="E20" i="7"/>
  <c r="E21" i="7"/>
  <c r="D20" i="7"/>
  <c r="D21" i="7"/>
  <c r="C20" i="7"/>
  <c r="C21" i="7"/>
  <c r="H18" i="7"/>
  <c r="H19" i="7"/>
  <c r="G18" i="7"/>
  <c r="G19" i="7"/>
  <c r="F18" i="7"/>
  <c r="F19" i="7"/>
  <c r="E18" i="7"/>
  <c r="E19" i="7"/>
  <c r="D18" i="7"/>
  <c r="D19" i="7"/>
  <c r="C18" i="7"/>
  <c r="C19" i="7"/>
  <c r="H16" i="7"/>
  <c r="H17" i="7"/>
  <c r="G16" i="7"/>
  <c r="G17" i="7"/>
  <c r="F16" i="7"/>
  <c r="F17" i="7"/>
  <c r="E16" i="7"/>
  <c r="E17" i="7"/>
  <c r="D16" i="7"/>
  <c r="D17" i="7"/>
  <c r="C16" i="7"/>
  <c r="C17" i="7"/>
  <c r="H14" i="7"/>
  <c r="H15" i="7"/>
  <c r="G14" i="7"/>
  <c r="G15" i="7"/>
  <c r="F14" i="7"/>
  <c r="F15" i="7"/>
  <c r="E14" i="7"/>
  <c r="E15" i="7"/>
  <c r="D14" i="7"/>
  <c r="D15" i="7"/>
  <c r="C14" i="7"/>
  <c r="C15" i="7"/>
  <c r="H12" i="7"/>
  <c r="H13" i="7"/>
  <c r="G12" i="7"/>
  <c r="G13" i="7"/>
  <c r="F12" i="7"/>
  <c r="F13" i="7"/>
  <c r="E12" i="7"/>
  <c r="E13" i="7"/>
  <c r="D12" i="7"/>
  <c r="D13" i="7"/>
  <c r="C12" i="7"/>
  <c r="C13" i="7"/>
  <c r="H10" i="7"/>
  <c r="H11" i="7"/>
  <c r="G10" i="7"/>
  <c r="G11" i="7"/>
  <c r="F10" i="7"/>
  <c r="F11" i="7"/>
  <c r="E10" i="7"/>
  <c r="E11" i="7"/>
  <c r="D10" i="7"/>
  <c r="D11" i="7"/>
  <c r="C10" i="7"/>
  <c r="C11" i="7"/>
  <c r="H8" i="7"/>
  <c r="H9" i="7"/>
  <c r="G8" i="7"/>
  <c r="G9" i="7"/>
  <c r="F8" i="7"/>
  <c r="F9" i="7"/>
  <c r="E8" i="7"/>
  <c r="E9" i="7"/>
  <c r="D8" i="7"/>
  <c r="D9" i="7"/>
  <c r="C8" i="7"/>
  <c r="C9" i="7"/>
  <c r="H6" i="7"/>
  <c r="H7" i="7"/>
  <c r="G6" i="7"/>
  <c r="G7" i="7"/>
  <c r="F6" i="7"/>
  <c r="F7" i="7"/>
  <c r="E6" i="7"/>
  <c r="E7" i="7"/>
  <c r="D6" i="7"/>
  <c r="D7" i="7"/>
  <c r="C6" i="7"/>
  <c r="C7" i="7"/>
  <c r="H4" i="7"/>
  <c r="H5" i="7"/>
  <c r="G4" i="7"/>
  <c r="G5" i="7"/>
  <c r="F4" i="7"/>
  <c r="F5" i="7"/>
  <c r="E4" i="7"/>
  <c r="E5" i="7"/>
  <c r="D4" i="7"/>
  <c r="D5" i="7"/>
  <c r="C4" i="7"/>
  <c r="C5" i="7"/>
  <c r="H2" i="7"/>
  <c r="H3" i="7"/>
  <c r="G2" i="7"/>
  <c r="G3" i="7"/>
  <c r="F2" i="7"/>
  <c r="F3" i="7"/>
  <c r="E2" i="7"/>
  <c r="E3" i="7"/>
  <c r="D2" i="7"/>
  <c r="D3" i="7"/>
  <c r="C2" i="7"/>
  <c r="C3" i="7"/>
  <c r="AX1" i="13"/>
  <c r="AP1" i="13"/>
  <c r="AH1" i="13"/>
  <c r="Z1" i="13"/>
  <c r="BD1" i="13"/>
  <c r="AN1" i="13"/>
  <c r="X1" i="13"/>
  <c r="AF1" i="13"/>
  <c r="BB1" i="13"/>
  <c r="AT1" i="13"/>
  <c r="AL1" i="13"/>
  <c r="AV1" i="13"/>
  <c r="AD1" i="13"/>
  <c r="AZ1" i="13"/>
  <c r="AR1" i="13"/>
  <c r="AJ1" i="13"/>
  <c r="AB1" i="13"/>
  <c r="BF1" i="7"/>
  <c r="BB1" i="7"/>
  <c r="AX1" i="7"/>
  <c r="AT1" i="7"/>
  <c r="AP1" i="7"/>
  <c r="AL1" i="7"/>
  <c r="AH1" i="7"/>
  <c r="AD1" i="7"/>
  <c r="Z1" i="7"/>
  <c r="V1" i="7"/>
  <c r="R1" i="7"/>
  <c r="N1" i="7"/>
  <c r="AW1" i="7"/>
  <c r="AK1" i="7"/>
  <c r="AC1" i="7"/>
  <c r="U1" i="7"/>
  <c r="BA1" i="7"/>
  <c r="AO1" i="7"/>
  <c r="AG1" i="7"/>
  <c r="Y1" i="7"/>
  <c r="Q1" i="7"/>
  <c r="BE1" i="7"/>
  <c r="AS1" i="7"/>
  <c r="M1" i="7"/>
  <c r="BD1" i="7"/>
  <c r="AZ1" i="7"/>
  <c r="AV1" i="7"/>
  <c r="AR1" i="7"/>
  <c r="AN1" i="7"/>
  <c r="AJ1" i="7"/>
  <c r="AF1" i="7"/>
  <c r="AB1" i="7"/>
  <c r="X1" i="7"/>
  <c r="T1" i="7"/>
  <c r="P1" i="7"/>
  <c r="BC1" i="7"/>
  <c r="AY1" i="7"/>
  <c r="AU1" i="7"/>
  <c r="AQ1" i="7"/>
  <c r="AM1" i="7"/>
  <c r="AI1" i="7"/>
  <c r="AE1" i="7"/>
  <c r="AA1" i="7"/>
  <c r="W1" i="7"/>
  <c r="S1" i="7"/>
  <c r="O1" i="7"/>
  <c r="AP1" i="6"/>
  <c r="AL1" i="6"/>
  <c r="AH1" i="6"/>
  <c r="AD1" i="6"/>
  <c r="Z1" i="6"/>
  <c r="V1" i="6"/>
  <c r="R1" i="6"/>
  <c r="N1" i="6"/>
  <c r="AK1" i="6"/>
  <c r="AG1" i="6"/>
  <c r="Y1" i="6"/>
  <c r="U1" i="6"/>
  <c r="Q1" i="6"/>
  <c r="AO1" i="6"/>
  <c r="AC1" i="6"/>
  <c r="M1" i="6"/>
  <c r="AN1" i="6"/>
  <c r="AJ1" i="6"/>
  <c r="AF1" i="6"/>
  <c r="AB1" i="6"/>
  <c r="X1" i="6"/>
  <c r="T1" i="6"/>
  <c r="P1" i="6"/>
  <c r="AM1" i="6"/>
  <c r="AI1" i="6"/>
  <c r="AE1" i="6"/>
  <c r="AA1" i="6"/>
  <c r="W1" i="6"/>
  <c r="S1" i="6"/>
  <c r="O1" i="6"/>
  <c r="DD1" i="12"/>
  <c r="CV1" i="12"/>
  <c r="CF1" i="12"/>
  <c r="BX1" i="12"/>
  <c r="BH1" i="12"/>
  <c r="AZ1" i="12"/>
  <c r="AR1" i="12"/>
  <c r="AJ1" i="12"/>
  <c r="AB1" i="12"/>
  <c r="CR1" i="12"/>
  <c r="CB1" i="12"/>
  <c r="BL1" i="12"/>
  <c r="BD1" i="12"/>
  <c r="AN1" i="12"/>
  <c r="AF1" i="12"/>
  <c r="X1" i="12"/>
  <c r="CZ1" i="12"/>
  <c r="CJ1" i="12"/>
  <c r="BT1" i="12"/>
  <c r="AV1" i="12"/>
  <c r="CL1" i="12"/>
  <c r="BN1" i="12"/>
  <c r="AP1" i="12"/>
  <c r="Z1" i="12"/>
  <c r="CX1" i="12"/>
  <c r="CH1" i="12"/>
  <c r="BR1" i="12"/>
  <c r="CT1" i="12"/>
  <c r="BF1" i="12"/>
  <c r="AH1" i="12"/>
  <c r="DF1" i="12"/>
  <c r="CP1" i="12"/>
  <c r="BZ1" i="12"/>
  <c r="BJ1" i="12"/>
  <c r="BB1" i="12"/>
  <c r="AT1" i="12"/>
  <c r="AL1" i="12"/>
  <c r="AD1" i="12"/>
  <c r="DB1" i="12"/>
  <c r="CD1" i="12"/>
  <c r="BV1" i="12"/>
  <c r="AX1" i="12"/>
  <c r="CN1" i="12"/>
  <c r="BP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<sst xmlns="http://schemas.openxmlformats.org/spreadsheetml/2006/main" count="1266" uniqueCount="201">
  <si>
    <t>identifier</t>
  </si>
  <si>
    <t>i1</t>
  </si>
  <si>
    <t>Title</t>
  </si>
  <si>
    <t>Description</t>
  </si>
  <si>
    <t>Authors</t>
  </si>
  <si>
    <t>Unit</t>
  </si>
  <si>
    <t>Measurement type</t>
  </si>
  <si>
    <t>Vibration</t>
  </si>
  <si>
    <t>Accelerometer</t>
  </si>
  <si>
    <t>Wilcoxon 786B-10</t>
  </si>
  <si>
    <t>kHz</t>
  </si>
  <si>
    <t>Specification</t>
  </si>
  <si>
    <t>Last name</t>
  </si>
  <si>
    <t>First name</t>
  </si>
  <si>
    <t>Mid initials</t>
  </si>
  <si>
    <t>Email</t>
  </si>
  <si>
    <t>Phone</t>
  </si>
  <si>
    <t>Fax</t>
  </si>
  <si>
    <t>Address</t>
  </si>
  <si>
    <t>Affiliation</t>
  </si>
  <si>
    <t>Operating condition</t>
  </si>
  <si>
    <t>Variable</t>
  </si>
  <si>
    <t>Variable type</t>
  </si>
  <si>
    <t>Sensor type</t>
  </si>
  <si>
    <t>Filter type</t>
  </si>
  <si>
    <t>Current</t>
  </si>
  <si>
    <t>s01</t>
  </si>
  <si>
    <t>s02</t>
  </si>
  <si>
    <t>Investigation Publication Title</t>
  </si>
  <si>
    <t>Investigation Publication Status</t>
  </si>
  <si>
    <t>Roles</t>
  </si>
  <si>
    <t>DOI</t>
  </si>
  <si>
    <t>Public release date</t>
  </si>
  <si>
    <t>Submission date</t>
  </si>
  <si>
    <t>Comments</t>
  </si>
  <si>
    <t>Location or lab name</t>
  </si>
  <si>
    <t>Detail type</t>
  </si>
  <si>
    <t>Set-up or test specimen name</t>
  </si>
  <si>
    <t>Identifier</t>
  </si>
  <si>
    <t>submission date</t>
  </si>
  <si>
    <t>Publication date</t>
  </si>
  <si>
    <t>Sensor 1</t>
  </si>
  <si>
    <t>Sensor 2</t>
  </si>
  <si>
    <t>Sensor 3</t>
  </si>
  <si>
    <t>Sensor 4</t>
  </si>
  <si>
    <t>Sensor 5</t>
  </si>
  <si>
    <t>Sensor 6</t>
  </si>
  <si>
    <t>V</t>
  </si>
  <si>
    <t>Experiment preparation</t>
  </si>
  <si>
    <t>Name of experiment preparation protocol</t>
  </si>
  <si>
    <t>Sensor model</t>
  </si>
  <si>
    <t>General info</t>
  </si>
  <si>
    <t>Contact Details</t>
  </si>
  <si>
    <t>Publication Details</t>
  </si>
  <si>
    <t>Tool wear dataset</t>
  </si>
  <si>
    <t>Measuring fault responses of worn milling tools</t>
  </si>
  <si>
    <t>Kai</t>
  </si>
  <si>
    <t>Goebel</t>
  </si>
  <si>
    <t>Agogino</t>
  </si>
  <si>
    <t>Alice</t>
  </si>
  <si>
    <t>NASA Ames</t>
  </si>
  <si>
    <t>UC Berkeley</t>
  </si>
  <si>
    <t>Investigator</t>
  </si>
  <si>
    <t>NASA laboratory</t>
  </si>
  <si>
    <t>Specimen</t>
  </si>
  <si>
    <t>Machine</t>
  </si>
  <si>
    <t>Matsuura machining center MC-510V</t>
  </si>
  <si>
    <t>Cutting insert</t>
  </si>
  <si>
    <t>KC710</t>
  </si>
  <si>
    <t>Workpiece length</t>
  </si>
  <si>
    <t>mm</t>
  </si>
  <si>
    <t>Workpiece width</t>
  </si>
  <si>
    <t>Workpiece depth</t>
  </si>
  <si>
    <t>s03</t>
  </si>
  <si>
    <t>s04</t>
  </si>
  <si>
    <t>s05</t>
  </si>
  <si>
    <t>s06</t>
  </si>
  <si>
    <t>s07</t>
  </si>
  <si>
    <t>s08</t>
  </si>
  <si>
    <t>s09</t>
  </si>
  <si>
    <t>s10</t>
  </si>
  <si>
    <t>s11</t>
  </si>
  <si>
    <t>s12</t>
  </si>
  <si>
    <t>s13</t>
  </si>
  <si>
    <t>s14</t>
  </si>
  <si>
    <t>s15</t>
  </si>
  <si>
    <t>s16</t>
  </si>
  <si>
    <t>Case 1</t>
  </si>
  <si>
    <t>Case 3</t>
  </si>
  <si>
    <t>Case 4</t>
  </si>
  <si>
    <t>Case 5</t>
  </si>
  <si>
    <t>Case 6</t>
  </si>
  <si>
    <t>Case 7</t>
  </si>
  <si>
    <t>Case 8</t>
  </si>
  <si>
    <t>Case 9</t>
  </si>
  <si>
    <t>Case 10</t>
  </si>
  <si>
    <t>Case 11</t>
  </si>
  <si>
    <t>Case 12</t>
  </si>
  <si>
    <t>Case 13</t>
  </si>
  <si>
    <t>Case 14</t>
  </si>
  <si>
    <t>Case 15</t>
  </si>
  <si>
    <t>Case 16</t>
  </si>
  <si>
    <t>Combination 1</t>
  </si>
  <si>
    <t>Combination 3</t>
  </si>
  <si>
    <t>Combination 4</t>
  </si>
  <si>
    <t>Combination 5</t>
  </si>
  <si>
    <t>Combination 6</t>
  </si>
  <si>
    <t>Combination 7</t>
  </si>
  <si>
    <t>Combination 8</t>
  </si>
  <si>
    <t>Combination 9</t>
  </si>
  <si>
    <t>Combination 10</t>
  </si>
  <si>
    <t>Combination 11</t>
  </si>
  <si>
    <t>Combination 12</t>
  </si>
  <si>
    <t>Combination 13</t>
  </si>
  <si>
    <t>Combination 14</t>
  </si>
  <si>
    <t>Combination 15</t>
  </si>
  <si>
    <t>Combination 16</t>
  </si>
  <si>
    <t>Sensor Location</t>
  </si>
  <si>
    <t>Sensor frequency range</t>
  </si>
  <si>
    <t>Preamplifier</t>
  </si>
  <si>
    <t>Amplifier</t>
  </si>
  <si>
    <t>Amplifier max load</t>
  </si>
  <si>
    <t>Amplifier min load</t>
  </si>
  <si>
    <t>Cutting speed</t>
  </si>
  <si>
    <t>Time</t>
  </si>
  <si>
    <t>Depth of Cut</t>
  </si>
  <si>
    <t>VB</t>
  </si>
  <si>
    <t>Feed</t>
  </si>
  <si>
    <t>Material</t>
  </si>
  <si>
    <t>Damage</t>
  </si>
  <si>
    <t>rev/min</t>
  </si>
  <si>
    <t>mm/rev</t>
  </si>
  <si>
    <t>Acoustic Emissin</t>
  </si>
  <si>
    <t>Acoustic Emission</t>
  </si>
  <si>
    <t>Microphone</t>
  </si>
  <si>
    <t>WD 925</t>
  </si>
  <si>
    <t>Current clamp</t>
  </si>
  <si>
    <t>CTA 213</t>
  </si>
  <si>
    <t>HP cutoff frequency</t>
  </si>
  <si>
    <t>Amplifier Sensitivity</t>
  </si>
  <si>
    <t>Amplifier output</t>
  </si>
  <si>
    <t>Table</t>
  </si>
  <si>
    <t>High pass</t>
  </si>
  <si>
    <t>DE 302A</t>
  </si>
  <si>
    <t>mV/g</t>
  </si>
  <si>
    <t>Spindle</t>
  </si>
  <si>
    <t>Current converter</t>
  </si>
  <si>
    <t>OMRON K3TB-A1015</t>
  </si>
  <si>
    <t>Power supply</t>
  </si>
  <si>
    <t>HP6237 triple output</t>
  </si>
  <si>
    <t>Power supply output</t>
  </si>
  <si>
    <t>Current type</t>
  </si>
  <si>
    <t>AC</t>
  </si>
  <si>
    <t>DC</t>
  </si>
  <si>
    <t>MHz</t>
  </si>
  <si>
    <t>DE1801</t>
  </si>
  <si>
    <t>DE302A</t>
  </si>
  <si>
    <t>Smoothening method</t>
  </si>
  <si>
    <t>RMS</t>
  </si>
  <si>
    <t>ms</t>
  </si>
  <si>
    <t>Hz</t>
  </si>
  <si>
    <t>ITHACO 4302 bandpass</t>
  </si>
  <si>
    <t>Filter roll-off rate</t>
  </si>
  <si>
    <t>dB/octave</t>
  </si>
  <si>
    <t>Filter LP cutoff frequency</t>
  </si>
  <si>
    <t>Filter HP cutoff frequency</t>
  </si>
  <si>
    <t>Smoothening time constant</t>
  </si>
  <si>
    <t>Smoothening sampling frequency</t>
  </si>
  <si>
    <t>Number of runs</t>
  </si>
  <si>
    <t>Run 10</t>
  </si>
  <si>
    <t>Run 11</t>
  </si>
  <si>
    <t>Run 12</t>
  </si>
  <si>
    <t>Run 13</t>
  </si>
  <si>
    <t>Run 14</t>
  </si>
  <si>
    <t>Run 15</t>
  </si>
  <si>
    <t>Run 16</t>
  </si>
  <si>
    <t>Run 17</t>
  </si>
  <si>
    <t>Run 18</t>
  </si>
  <si>
    <t>Run 19</t>
  </si>
  <si>
    <t>Run 20</t>
  </si>
  <si>
    <t>Run 21</t>
  </si>
  <si>
    <t>Run 22</t>
  </si>
  <si>
    <t>Run 23</t>
  </si>
  <si>
    <t>Case 2</t>
  </si>
  <si>
    <t>Combination 2</t>
  </si>
  <si>
    <t>Name</t>
  </si>
  <si>
    <t>vib_table</t>
  </si>
  <si>
    <t>vib_spindle</t>
  </si>
  <si>
    <t>smcAC</t>
  </si>
  <si>
    <t>smcDC</t>
  </si>
  <si>
    <t>AE_table</t>
  </si>
  <si>
    <t>AE_spindle</t>
  </si>
  <si>
    <t>Run 01</t>
  </si>
  <si>
    <t>Run 02</t>
  </si>
  <si>
    <t>Run 03</t>
  </si>
  <si>
    <t>Run 04</t>
  </si>
  <si>
    <t>Run 05</t>
  </si>
  <si>
    <t>Run 06</t>
  </si>
  <si>
    <t>Run 07</t>
  </si>
  <si>
    <t>Run 08</t>
  </si>
  <si>
    <t>Run 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</si>
</sst>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11"/>
      <name val="Calibri"/>
      <family val="2"/>
    </font>
    <font>
      <b/>
      <sz val="11"/>
      <color theme="9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5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0" fillId="3" borderId="0" xfId="0" applyFill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vertical="center" wrapText="1"/>
    </xf>
    <xf numFmtId="0" fontId="0" fillId="4" borderId="0" xfId="0" applyFill="1" applyAlignment="1">
      <alignment vertical="center"/>
    </xf>
    <xf numFmtId="0" fontId="4" fillId="4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5" borderId="0" xfId="0" applyFont="1" applyFill="1" applyAlignment="1">
      <alignment vertical="center"/>
    </xf>
    <xf numFmtId="0" fontId="0" fillId="0" borderId="1" xfId="0" applyBorder="1"/>
    <xf numFmtId="0" fontId="0" fillId="0" borderId="3" xfId="0" applyBorder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0" fillId="0" borderId="4" xfId="0" applyBorder="1"/>
    <xf numFmtId="0" fontId="0" fillId="0" borderId="3" xfId="0" applyBorder="1" applyAlignment="1">
      <alignment vertical="center" wrapText="1"/>
    </xf>
    <xf numFmtId="0" fontId="1" fillId="0" borderId="2" xfId="0" applyFont="1" applyBorder="1" applyAlignment="1">
      <alignment horizontal="center"/>
    </xf>
    <xf numFmtId="0" fontId="11" fillId="0" borderId="0" xfId="0" applyFont="1" applyAlignment="1">
      <alignment vertical="center"/>
    </xf>
    <xf numFmtId="0" fontId="0" fillId="0" borderId="3" xfId="0" applyBorder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/>
    </xf>
    <xf numFmtId="0" fontId="0" fillId="0" borderId="0" xfId="0" quotePrefix="1"/>
    <xf numFmtId="0" fontId="1" fillId="0" borderId="3" xfId="0" applyFont="1" applyBorder="1"/>
    <xf numFmtId="0" fontId="1" fillId="0" borderId="2" xfId="0" applyFont="1" applyBorder="1"/>
    <xf numFmtId="0" fontId="0" fillId="0" borderId="2" xfId="0" applyBorder="1"/>
    <xf numFmtId="0" fontId="1" fillId="0" borderId="3" xfId="0" applyFont="1" applyBorder="1" applyAlignment="1">
      <alignment horizontal="center"/>
    </xf>
    <xf numFmtId="0" fontId="0" fillId="0" borderId="3" xfId="0" quotePrefix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0" fillId="0" borderId="2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2" xfId="0" applyBorder="1" applyAlignment="1">
      <alignment horizontal="center"/>
    </xf>
    <xf numFmtId="0" fontId="0" fillId="0" borderId="0" xfId="0" applyProtection="1">
      <protection locked="0"/>
    </xf>
    <xf numFmtId="0" fontId="0" fillId="0" borderId="8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2" xfId="0" applyFont="1" applyBorder="1" applyProtection="1"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</xdr:row>
          <xdr:rowOff>175260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164"/>
  <sheetViews>
    <sheetView zoomScaleNormal="100" workbookViewId="0">
      <selection activeCell="S3" sqref="S3:T3"/>
    </sheetView>
  </sheetViews>
  <sheetFormatPr defaultColWidth="9.109375" defaultRowHeight="14.4" x14ac:dyDescent="0.3"/>
  <cols>
    <col min="1" max="1" width="9.44140625" style="44" bestFit="1" customWidth="1"/>
    <col min="2" max="2" width="26.6640625" style="26" bestFit="1" customWidth="1"/>
    <col min="3" max="3" width="66.44140625" style="27" bestFit="1" customWidth="1"/>
    <col min="4" max="4" width="15.6640625" style="28" bestFit="1" customWidth="1"/>
    <col min="5" max="5" width="18.109375" style="27" bestFit="1" customWidth="1"/>
    <col min="6" max="6" width="10.5546875" style="26" bestFit="1" customWidth="1"/>
    <col min="7" max="7" width="12.6640625" style="26" bestFit="1" customWidth="1"/>
    <col min="8" max="8" width="10.33203125" style="26" bestFit="1" customWidth="1"/>
    <col min="9" max="9" width="11" style="26" bestFit="1" customWidth="1"/>
    <col min="10" max="10" width="24.88671875" style="26" bestFit="1" customWidth="1"/>
    <col min="11" max="11" width="6.6640625" style="26" bestFit="1" customWidth="1"/>
    <col min="12" max="12" width="4" style="26" bestFit="1" customWidth="1"/>
    <col min="13" max="13" width="8.109375" style="26" bestFit="1" customWidth="1"/>
    <col min="14" max="14" width="51.6640625" style="26" bestFit="1" customWidth="1"/>
    <col min="15" max="15" width="28.33203125" style="26" bestFit="1" customWidth="1"/>
    <col min="16" max="16" width="10.5546875" style="26" bestFit="1" customWidth="1"/>
    <col min="17" max="17" width="96.5546875" style="26" bestFit="1" customWidth="1"/>
    <col min="18" max="18" width="12.6640625" style="26" bestFit="1" customWidth="1"/>
    <col min="19" max="19" width="24" style="26" bestFit="1" customWidth="1"/>
    <col min="20" max="20" width="29.44140625" style="26" bestFit="1" customWidth="1"/>
    <col min="21" max="21" width="10.5546875" style="26" bestFit="1" customWidth="1"/>
    <col min="22" max="16384" width="9.109375" style="2"/>
  </cols>
  <sheetData>
    <row r="1" spans="1:72" x14ac:dyDescent="0.3">
      <c r="A1" s="73" t="s">
        <v>51</v>
      </c>
      <c r="B1" s="73"/>
      <c r="C1" s="73"/>
      <c r="D1" s="73"/>
      <c r="E1" s="73"/>
      <c r="F1" s="73"/>
      <c r="G1" s="73" t="s">
        <v>52</v>
      </c>
      <c r="H1" s="73"/>
      <c r="I1" s="73"/>
      <c r="J1" s="73"/>
      <c r="K1" s="73"/>
      <c r="L1" s="73"/>
      <c r="M1" s="73"/>
      <c r="N1" s="73"/>
      <c r="O1" s="73"/>
      <c r="P1" s="73"/>
      <c r="Q1" s="73" t="s">
        <v>53</v>
      </c>
      <c r="R1" s="73"/>
      <c r="S1" s="73"/>
      <c r="T1" s="73"/>
      <c r="U1" s="73"/>
    </row>
    <row r="2" spans="1:72" s="22" customFormat="1" ht="15.6" x14ac:dyDescent="0.3">
      <c r="A2" s="45" t="s">
        <v>0</v>
      </c>
      <c r="B2" s="45" t="s">
        <v>2</v>
      </c>
      <c r="C2" s="45" t="s">
        <v>3</v>
      </c>
      <c r="D2" s="45" t="s">
        <v>33</v>
      </c>
      <c r="E2" s="45" t="s">
        <v>32</v>
      </c>
      <c r="F2" s="46" t="s">
        <v>34</v>
      </c>
      <c r="G2" s="45" t="s">
        <v>12</v>
      </c>
      <c r="H2" s="45" t="s">
        <v>13</v>
      </c>
      <c r="I2" s="45" t="s">
        <v>14</v>
      </c>
      <c r="J2" s="45" t="s">
        <v>15</v>
      </c>
      <c r="K2" s="45" t="s">
        <v>16</v>
      </c>
      <c r="L2" s="45" t="s">
        <v>17</v>
      </c>
      <c r="M2" s="45" t="s">
        <v>18</v>
      </c>
      <c r="N2" s="45" t="s">
        <v>19</v>
      </c>
      <c r="O2" s="45" t="s">
        <v>30</v>
      </c>
      <c r="P2" s="45" t="s">
        <v>34</v>
      </c>
      <c r="Q2" s="47" t="s">
        <v>28</v>
      </c>
      <c r="R2" s="47" t="s">
        <v>4</v>
      </c>
      <c r="S2" s="47" t="s">
        <v>31</v>
      </c>
      <c r="T2" s="47" t="s">
        <v>29</v>
      </c>
      <c r="U2" s="47" t="s">
        <v>34</v>
      </c>
    </row>
    <row r="3" spans="1:72" x14ac:dyDescent="0.3">
      <c r="A3" s="27" t="s">
        <v>1</v>
      </c>
      <c r="B3" s="27" t="s">
        <v>54</v>
      </c>
      <c r="C3" s="27" t="s">
        <v>55</v>
      </c>
      <c r="D3" s="30"/>
      <c r="E3" s="30"/>
      <c r="G3" s="31" t="s">
        <v>57</v>
      </c>
      <c r="H3" t="s">
        <v>56</v>
      </c>
      <c r="J3" s="32"/>
      <c r="K3" s="33"/>
      <c r="L3" s="33"/>
      <c r="M3" s="33"/>
      <c r="N3" t="s">
        <v>60</v>
      </c>
      <c r="O3" s="33" t="s">
        <v>62</v>
      </c>
      <c r="Q3" s="33"/>
      <c r="R3" s="31"/>
      <c r="S3" s="33"/>
      <c r="T3" s="33"/>
      <c r="U3" s="33"/>
    </row>
    <row r="4" spans="1:72" x14ac:dyDescent="0.3">
      <c r="A4" s="26"/>
      <c r="G4" t="s">
        <v>58</v>
      </c>
      <c r="H4" s="27" t="s">
        <v>59</v>
      </c>
      <c r="I4" s="27"/>
      <c r="J4" s="33"/>
      <c r="K4" s="33"/>
      <c r="L4" s="33"/>
      <c r="M4" s="33"/>
      <c r="N4" t="s">
        <v>61</v>
      </c>
      <c r="O4" s="33" t="s">
        <v>62</v>
      </c>
      <c r="Q4" s="33"/>
      <c r="R4" s="31"/>
      <c r="S4" s="33"/>
      <c r="T4" s="33"/>
      <c r="U4" s="33"/>
    </row>
    <row r="5" spans="1:72" x14ac:dyDescent="0.3">
      <c r="A5" s="33"/>
      <c r="D5" s="27"/>
      <c r="E5" s="28"/>
      <c r="F5" s="27"/>
      <c r="G5" s="31"/>
      <c r="H5" s="31"/>
      <c r="I5" s="28"/>
      <c r="J5" s="33"/>
      <c r="K5" s="33"/>
      <c r="L5" s="33"/>
      <c r="M5" s="33"/>
      <c r="N5" s="33"/>
      <c r="O5" s="33"/>
      <c r="Q5" s="33"/>
      <c r="R5" s="31"/>
      <c r="S5" s="27"/>
      <c r="T5" s="33"/>
      <c r="U5" s="33"/>
    </row>
    <row r="6" spans="1:72" x14ac:dyDescent="0.3">
      <c r="A6" s="33"/>
      <c r="C6" s="30"/>
      <c r="D6" s="27"/>
      <c r="E6" s="28"/>
      <c r="F6" s="27"/>
      <c r="G6" s="31"/>
      <c r="H6" s="27"/>
      <c r="I6" s="27"/>
      <c r="J6" s="33"/>
      <c r="K6" s="33"/>
      <c r="L6" s="33"/>
      <c r="M6" s="33"/>
      <c r="N6" s="33"/>
      <c r="O6" s="33"/>
      <c r="Q6" s="33"/>
      <c r="R6" s="31"/>
      <c r="S6" s="28"/>
      <c r="T6" s="33"/>
      <c r="U6" s="33"/>
    </row>
    <row r="7" spans="1:72" x14ac:dyDescent="0.3">
      <c r="A7" s="33"/>
      <c r="C7" s="30"/>
      <c r="D7" s="27"/>
      <c r="E7" s="28"/>
      <c r="F7" s="27"/>
    </row>
    <row r="8" spans="1:72" x14ac:dyDescent="0.3">
      <c r="A8" s="26"/>
      <c r="B8" s="17"/>
      <c r="D8" s="27"/>
      <c r="E8" s="28"/>
      <c r="F8" s="27"/>
    </row>
    <row r="9" spans="1:72" x14ac:dyDescent="0.3">
      <c r="A9" s="26"/>
    </row>
    <row r="10" spans="1:72" x14ac:dyDescent="0.3">
      <c r="A10" s="26"/>
    </row>
    <row r="11" spans="1:72" x14ac:dyDescent="0.3">
      <c r="A11" s="26"/>
    </row>
    <row r="12" spans="1:72" x14ac:dyDescent="0.3">
      <c r="A12" s="26"/>
      <c r="B12" s="17"/>
      <c r="D12" s="27"/>
      <c r="E12" s="28"/>
      <c r="F12" s="27"/>
    </row>
    <row r="13" spans="1:72" x14ac:dyDescent="0.3">
      <c r="A13" s="26"/>
    </row>
    <row r="14" spans="1:72" x14ac:dyDescent="0.3">
      <c r="A14" s="26"/>
    </row>
    <row r="15" spans="1:72" x14ac:dyDescent="0.3">
      <c r="A15" s="26"/>
    </row>
    <row r="16" spans="1:72" s="1" customFormat="1" x14ac:dyDescent="0.3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</row>
    <row r="17" spans="1:6" x14ac:dyDescent="0.3">
      <c r="A17" s="26"/>
      <c r="C17" s="34"/>
      <c r="D17" s="27"/>
      <c r="E17" s="28"/>
      <c r="F17" s="27"/>
    </row>
    <row r="18" spans="1:6" x14ac:dyDescent="0.3">
      <c r="A18" s="26"/>
      <c r="C18" s="26"/>
      <c r="D18" s="27"/>
      <c r="E18" s="28"/>
      <c r="F18" s="27"/>
    </row>
    <row r="19" spans="1:6" x14ac:dyDescent="0.3">
      <c r="A19" s="26"/>
      <c r="B19" s="35"/>
      <c r="C19" s="17"/>
      <c r="D19" s="27"/>
      <c r="E19" s="28"/>
      <c r="F19" s="27"/>
    </row>
    <row r="20" spans="1:6" x14ac:dyDescent="0.3">
      <c r="A20" s="26"/>
      <c r="C20" s="26"/>
      <c r="D20" s="27"/>
      <c r="E20" s="28"/>
      <c r="F20" s="27"/>
    </row>
    <row r="21" spans="1:6" x14ac:dyDescent="0.3">
      <c r="A21" s="26"/>
      <c r="C21" s="26"/>
      <c r="D21" s="27"/>
      <c r="E21" s="28"/>
      <c r="F21" s="27"/>
    </row>
    <row r="22" spans="1:6" x14ac:dyDescent="0.3">
      <c r="A22" s="26"/>
      <c r="C22" s="26"/>
      <c r="D22" s="27"/>
      <c r="E22" s="28"/>
      <c r="F22" s="27"/>
    </row>
    <row r="23" spans="1:6" x14ac:dyDescent="0.3">
      <c r="A23" s="26"/>
      <c r="C23" s="26"/>
      <c r="D23" s="27"/>
      <c r="E23" s="28"/>
      <c r="F23" s="27"/>
    </row>
    <row r="24" spans="1:6" x14ac:dyDescent="0.3">
      <c r="A24" s="26"/>
    </row>
    <row r="25" spans="1:6" x14ac:dyDescent="0.3">
      <c r="A25" s="26"/>
    </row>
    <row r="26" spans="1:6" x14ac:dyDescent="0.3">
      <c r="A26" s="26"/>
    </row>
    <row r="27" spans="1:6" x14ac:dyDescent="0.3">
      <c r="A27" s="26"/>
    </row>
    <row r="28" spans="1:6" x14ac:dyDescent="0.3">
      <c r="A28" s="26"/>
    </row>
    <row r="29" spans="1:6" x14ac:dyDescent="0.3">
      <c r="A29" s="26"/>
    </row>
    <row r="30" spans="1:6" x14ac:dyDescent="0.3">
      <c r="A30" s="26"/>
    </row>
    <row r="31" spans="1:6" x14ac:dyDescent="0.3">
      <c r="A31" s="26"/>
    </row>
    <row r="32" spans="1:6" x14ac:dyDescent="0.3">
      <c r="A32" s="26"/>
    </row>
    <row r="33" spans="1:72" x14ac:dyDescent="0.3">
      <c r="A33" s="26"/>
    </row>
    <row r="34" spans="1:72" s="1" customFormat="1" x14ac:dyDescent="0.3">
      <c r="A34" s="26"/>
      <c r="B34" s="17"/>
      <c r="C34" s="27"/>
      <c r="D34" s="28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</row>
    <row r="35" spans="1:72" x14ac:dyDescent="0.3">
      <c r="A35" s="26"/>
    </row>
    <row r="36" spans="1:72" x14ac:dyDescent="0.3">
      <c r="A36" s="26"/>
    </row>
    <row r="37" spans="1:72" s="13" customFormat="1" x14ac:dyDescent="0.3">
      <c r="A37" s="26"/>
      <c r="B37" s="26"/>
      <c r="C37" s="29"/>
      <c r="D37" s="28"/>
      <c r="E37" s="29"/>
      <c r="F37" s="17"/>
      <c r="G37" s="17"/>
      <c r="H37" s="17"/>
      <c r="I37" s="17"/>
      <c r="J37" s="17"/>
      <c r="K37" s="17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</row>
    <row r="38" spans="1:72" x14ac:dyDescent="0.3">
      <c r="A38" s="36"/>
      <c r="B38" s="37"/>
      <c r="F38" s="27"/>
      <c r="G38" s="27"/>
      <c r="H38" s="27"/>
      <c r="I38" s="27"/>
      <c r="J38" s="27"/>
      <c r="K38" s="27"/>
    </row>
    <row r="39" spans="1:72" x14ac:dyDescent="0.3">
      <c r="A39" s="26"/>
    </row>
    <row r="40" spans="1:72" x14ac:dyDescent="0.3">
      <c r="A40" s="36"/>
    </row>
    <row r="41" spans="1:72" x14ac:dyDescent="0.3">
      <c r="A41" s="36"/>
    </row>
    <row r="42" spans="1:72" x14ac:dyDescent="0.3">
      <c r="A42" s="26"/>
    </row>
    <row r="43" spans="1:72" x14ac:dyDescent="0.3">
      <c r="A43" s="26"/>
      <c r="B43" s="17"/>
    </row>
    <row r="44" spans="1:72" x14ac:dyDescent="0.3">
      <c r="A44" s="26"/>
    </row>
    <row r="45" spans="1:72" x14ac:dyDescent="0.3">
      <c r="A45" s="26"/>
    </row>
    <row r="46" spans="1:72" x14ac:dyDescent="0.3">
      <c r="A46" s="37"/>
    </row>
    <row r="47" spans="1:72" x14ac:dyDescent="0.3">
      <c r="A47" s="36"/>
    </row>
    <row r="48" spans="1:72" x14ac:dyDescent="0.3">
      <c r="A48" s="36"/>
    </row>
    <row r="49" spans="1:2" x14ac:dyDescent="0.3">
      <c r="A49" s="36"/>
    </row>
    <row r="50" spans="1:2" x14ac:dyDescent="0.3">
      <c r="A50" s="36"/>
    </row>
    <row r="51" spans="1:2" x14ac:dyDescent="0.3">
      <c r="A51" s="36"/>
    </row>
    <row r="52" spans="1:2" x14ac:dyDescent="0.3">
      <c r="A52" s="36"/>
    </row>
    <row r="53" spans="1:2" x14ac:dyDescent="0.3">
      <c r="A53" s="36"/>
    </row>
    <row r="54" spans="1:2" x14ac:dyDescent="0.3">
      <c r="A54" s="26"/>
    </row>
    <row r="55" spans="1:2" x14ac:dyDescent="0.3">
      <c r="A55" s="37"/>
      <c r="B55" s="17"/>
    </row>
    <row r="56" spans="1:2" x14ac:dyDescent="0.3">
      <c r="A56" s="36"/>
    </row>
    <row r="57" spans="1:2" x14ac:dyDescent="0.3">
      <c r="A57" s="36"/>
    </row>
    <row r="58" spans="1:2" x14ac:dyDescent="0.3">
      <c r="A58" s="36"/>
    </row>
    <row r="59" spans="1:2" x14ac:dyDescent="0.3">
      <c r="A59" s="36"/>
    </row>
    <row r="60" spans="1:2" x14ac:dyDescent="0.3">
      <c r="A60" s="36"/>
    </row>
    <row r="61" spans="1:2" x14ac:dyDescent="0.3">
      <c r="A61" s="36"/>
      <c r="B61" s="17"/>
    </row>
    <row r="62" spans="1:2" x14ac:dyDescent="0.3">
      <c r="A62" s="36"/>
    </row>
    <row r="63" spans="1:2" x14ac:dyDescent="0.3">
      <c r="A63" s="36"/>
    </row>
    <row r="64" spans="1:2" x14ac:dyDescent="0.3">
      <c r="A64" s="36"/>
    </row>
    <row r="65" spans="1:72" x14ac:dyDescent="0.3">
      <c r="A65" s="36"/>
    </row>
    <row r="66" spans="1:72" x14ac:dyDescent="0.3">
      <c r="A66" s="36"/>
    </row>
    <row r="67" spans="1:72" x14ac:dyDescent="0.3">
      <c r="A67" s="36"/>
    </row>
    <row r="68" spans="1:72" x14ac:dyDescent="0.3">
      <c r="A68" s="36"/>
    </row>
    <row r="69" spans="1:72" x14ac:dyDescent="0.3">
      <c r="A69" s="26"/>
    </row>
    <row r="70" spans="1:72" x14ac:dyDescent="0.3">
      <c r="A70" s="26"/>
      <c r="B70" s="17"/>
    </row>
    <row r="71" spans="1:72" x14ac:dyDescent="0.3">
      <c r="A71" s="36"/>
    </row>
    <row r="72" spans="1:72" x14ac:dyDescent="0.3">
      <c r="A72" s="26"/>
    </row>
    <row r="73" spans="1:72" x14ac:dyDescent="0.3">
      <c r="A73" s="26"/>
    </row>
    <row r="74" spans="1:72" x14ac:dyDescent="0.3">
      <c r="A74" s="26"/>
    </row>
    <row r="75" spans="1:72" x14ac:dyDescent="0.3">
      <c r="A75" s="26"/>
    </row>
    <row r="76" spans="1:72" s="11" customFormat="1" x14ac:dyDescent="0.3">
      <c r="A76" s="26"/>
      <c r="B76" s="26"/>
      <c r="C76" s="27"/>
      <c r="D76" s="28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</row>
    <row r="77" spans="1:72" x14ac:dyDescent="0.3">
      <c r="A77" s="26"/>
      <c r="B77" s="17"/>
    </row>
    <row r="78" spans="1:72" s="12" customFormat="1" x14ac:dyDescent="0.3">
      <c r="A78" s="38"/>
      <c r="B78" s="39"/>
      <c r="C78" s="40"/>
      <c r="D78" s="28"/>
      <c r="E78" s="40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</row>
    <row r="79" spans="1:72" x14ac:dyDescent="0.3">
      <c r="A79" s="39"/>
      <c r="C79" s="41"/>
    </row>
    <row r="80" spans="1:72" s="1" customFormat="1" x14ac:dyDescent="0.3">
      <c r="A80" s="26"/>
      <c r="B80" s="17"/>
      <c r="C80" s="27"/>
      <c r="D80" s="28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</row>
    <row r="81" spans="1:72" x14ac:dyDescent="0.3">
      <c r="A81" s="26"/>
      <c r="B81" s="17"/>
    </row>
    <row r="82" spans="1:72" x14ac:dyDescent="0.3">
      <c r="A82" s="26"/>
    </row>
    <row r="83" spans="1:72" s="14" customFormat="1" x14ac:dyDescent="0.3">
      <c r="A83" s="26"/>
      <c r="B83" s="26"/>
      <c r="C83" s="29"/>
      <c r="D83" s="42"/>
      <c r="E83" s="29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</row>
    <row r="84" spans="1:72" s="3" customFormat="1" x14ac:dyDescent="0.3">
      <c r="A84" s="26"/>
      <c r="B84" s="17"/>
      <c r="C84" s="29"/>
      <c r="D84" s="42"/>
      <c r="E84" s="29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</row>
    <row r="85" spans="1:72" s="3" customFormat="1" x14ac:dyDescent="0.3">
      <c r="A85" s="26"/>
      <c r="B85" s="26"/>
      <c r="C85" s="27"/>
      <c r="D85" s="28"/>
      <c r="E85" s="27"/>
      <c r="F85" s="2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</row>
    <row r="86" spans="1:72" x14ac:dyDescent="0.3">
      <c r="A86" s="26"/>
      <c r="F86" s="27"/>
    </row>
    <row r="87" spans="1:72" x14ac:dyDescent="0.3">
      <c r="A87" s="26"/>
      <c r="C87" s="30"/>
      <c r="E87" s="30"/>
      <c r="F87" s="30"/>
    </row>
    <row r="88" spans="1:72" x14ac:dyDescent="0.3">
      <c r="A88" s="26"/>
      <c r="C88" s="30"/>
      <c r="E88" s="30"/>
      <c r="F88" s="30"/>
    </row>
    <row r="89" spans="1:72" x14ac:dyDescent="0.3">
      <c r="A89" s="26"/>
      <c r="B89" s="37"/>
      <c r="C89" s="41"/>
      <c r="E89" s="41"/>
      <c r="F89" s="41"/>
    </row>
    <row r="90" spans="1:72" x14ac:dyDescent="0.3">
      <c r="A90" s="26"/>
      <c r="F90" s="27"/>
    </row>
    <row r="91" spans="1:72" x14ac:dyDescent="0.3">
      <c r="A91" s="26"/>
      <c r="F91" s="27"/>
    </row>
    <row r="92" spans="1:72" x14ac:dyDescent="0.3">
      <c r="A92" s="26"/>
      <c r="B92" s="17"/>
      <c r="C92" s="29"/>
      <c r="D92" s="42"/>
      <c r="E92" s="29"/>
      <c r="F92" s="17"/>
    </row>
    <row r="93" spans="1:72" x14ac:dyDescent="0.3">
      <c r="A93" s="26"/>
    </row>
    <row r="94" spans="1:72" x14ac:dyDescent="0.3">
      <c r="A94" s="26"/>
      <c r="F94" s="27"/>
    </row>
    <row r="95" spans="1:72" x14ac:dyDescent="0.3">
      <c r="A95" s="37"/>
      <c r="B95" s="17"/>
      <c r="F95" s="27"/>
    </row>
    <row r="96" spans="1:72" x14ac:dyDescent="0.3">
      <c r="A96" s="36"/>
      <c r="F96" s="27"/>
    </row>
    <row r="97" spans="1:6" x14ac:dyDescent="0.3">
      <c r="A97" s="36"/>
      <c r="F97" s="27"/>
    </row>
    <row r="98" spans="1:6" x14ac:dyDescent="0.3">
      <c r="A98" s="36"/>
      <c r="F98" s="27"/>
    </row>
    <row r="99" spans="1:6" x14ac:dyDescent="0.3">
      <c r="A99" s="26"/>
      <c r="B99" s="37"/>
      <c r="C99" s="41"/>
      <c r="E99" s="41"/>
      <c r="F99" s="37"/>
    </row>
    <row r="100" spans="1:6" x14ac:dyDescent="0.3">
      <c r="A100" s="26"/>
      <c r="B100" s="37"/>
      <c r="C100" s="41"/>
      <c r="E100" s="41"/>
      <c r="F100" s="37"/>
    </row>
    <row r="101" spans="1:6" x14ac:dyDescent="0.3">
      <c r="A101" s="26"/>
      <c r="B101" s="37"/>
      <c r="C101" s="41"/>
      <c r="E101" s="41"/>
      <c r="F101" s="37"/>
    </row>
    <row r="102" spans="1:6" x14ac:dyDescent="0.3">
      <c r="A102" s="26"/>
      <c r="B102" s="37"/>
      <c r="C102" s="41"/>
      <c r="E102" s="41"/>
      <c r="F102" s="37"/>
    </row>
    <row r="103" spans="1:6" x14ac:dyDescent="0.3">
      <c r="A103" s="26"/>
      <c r="B103" s="37"/>
      <c r="C103" s="41"/>
      <c r="E103" s="41"/>
      <c r="F103" s="37"/>
    </row>
    <row r="104" spans="1:6" x14ac:dyDescent="0.3">
      <c r="A104" s="26"/>
      <c r="B104" s="37"/>
      <c r="C104" s="41"/>
      <c r="E104" s="41"/>
      <c r="F104" s="37"/>
    </row>
    <row r="105" spans="1:6" x14ac:dyDescent="0.3">
      <c r="A105" s="36"/>
      <c r="F105" s="27"/>
    </row>
    <row r="106" spans="1:6" x14ac:dyDescent="0.3">
      <c r="A106" s="43"/>
      <c r="B106" s="37"/>
      <c r="C106" s="41"/>
      <c r="E106" s="41"/>
      <c r="F106" s="41"/>
    </row>
    <row r="107" spans="1:6" x14ac:dyDescent="0.3">
      <c r="A107" s="43"/>
      <c r="B107" s="37"/>
      <c r="F107" s="27"/>
    </row>
    <row r="108" spans="1:6" x14ac:dyDescent="0.3">
      <c r="A108" s="26"/>
      <c r="B108" s="17"/>
      <c r="F108" s="27"/>
    </row>
    <row r="109" spans="1:6" x14ac:dyDescent="0.3">
      <c r="A109" s="26"/>
      <c r="F109" s="27"/>
    </row>
    <row r="110" spans="1:6" x14ac:dyDescent="0.3">
      <c r="A110" s="37"/>
      <c r="B110" s="17"/>
      <c r="F110" s="27"/>
    </row>
    <row r="111" spans="1:6" x14ac:dyDescent="0.3">
      <c r="A111" s="26"/>
    </row>
    <row r="112" spans="1:6" x14ac:dyDescent="0.3">
      <c r="A112" s="26"/>
    </row>
    <row r="113" spans="1:6" x14ac:dyDescent="0.3">
      <c r="A113" s="27"/>
    </row>
    <row r="114" spans="1:6" x14ac:dyDescent="0.3">
      <c r="A114" s="26"/>
    </row>
    <row r="115" spans="1:6" x14ac:dyDescent="0.3">
      <c r="A115" s="26"/>
      <c r="F115" s="27"/>
    </row>
    <row r="116" spans="1:6" x14ac:dyDescent="0.3">
      <c r="A116" s="26"/>
    </row>
    <row r="117" spans="1:6" x14ac:dyDescent="0.3">
      <c r="A117" s="26"/>
    </row>
    <row r="118" spans="1:6" x14ac:dyDescent="0.3">
      <c r="A118" s="27"/>
    </row>
    <row r="119" spans="1:6" x14ac:dyDescent="0.3">
      <c r="A119" s="26"/>
    </row>
    <row r="120" spans="1:6" x14ac:dyDescent="0.3">
      <c r="A120" s="26"/>
      <c r="F120" s="27"/>
    </row>
    <row r="121" spans="1:6" x14ac:dyDescent="0.3">
      <c r="A121" s="26"/>
    </row>
    <row r="122" spans="1:6" x14ac:dyDescent="0.3">
      <c r="A122" s="26"/>
    </row>
    <row r="123" spans="1:6" x14ac:dyDescent="0.3">
      <c r="A123" s="26"/>
    </row>
    <row r="124" spans="1:6" x14ac:dyDescent="0.3">
      <c r="A124" s="26"/>
    </row>
    <row r="125" spans="1:6" x14ac:dyDescent="0.3">
      <c r="A125" s="26"/>
    </row>
    <row r="126" spans="1:6" x14ac:dyDescent="0.3">
      <c r="A126" s="26"/>
      <c r="B126" s="17"/>
    </row>
    <row r="127" spans="1:6" x14ac:dyDescent="0.3">
      <c r="A127" s="26"/>
      <c r="B127" s="27"/>
    </row>
    <row r="128" spans="1:6" x14ac:dyDescent="0.3">
      <c r="A128" s="26"/>
    </row>
    <row r="129" spans="1:72" x14ac:dyDescent="0.3">
      <c r="A129" s="36"/>
    </row>
    <row r="130" spans="1:72" x14ac:dyDescent="0.3">
      <c r="A130" s="36"/>
    </row>
    <row r="131" spans="1:72" x14ac:dyDescent="0.3">
      <c r="A131" s="26"/>
      <c r="B131" s="37"/>
      <c r="C131" s="41"/>
      <c r="E131" s="41"/>
      <c r="F131" s="37"/>
    </row>
    <row r="132" spans="1:72" x14ac:dyDescent="0.3">
      <c r="A132" s="36"/>
      <c r="B132" s="37"/>
      <c r="C132" s="41"/>
      <c r="E132" s="41"/>
      <c r="F132" s="41"/>
    </row>
    <row r="133" spans="1:72" x14ac:dyDescent="0.3">
      <c r="A133" s="26"/>
    </row>
    <row r="134" spans="1:72" x14ac:dyDescent="0.3">
      <c r="A134" s="36"/>
    </row>
    <row r="135" spans="1:72" x14ac:dyDescent="0.3">
      <c r="A135" s="36"/>
    </row>
    <row r="136" spans="1:72" x14ac:dyDescent="0.3">
      <c r="A136" s="26"/>
      <c r="B136" s="37"/>
      <c r="C136" s="41"/>
      <c r="E136" s="41"/>
      <c r="F136" s="37"/>
    </row>
    <row r="137" spans="1:72" x14ac:dyDescent="0.3">
      <c r="A137" s="36"/>
      <c r="B137" s="37"/>
      <c r="C137" s="41"/>
      <c r="E137" s="41"/>
      <c r="F137" s="41"/>
    </row>
    <row r="138" spans="1:72" x14ac:dyDescent="0.3">
      <c r="A138" s="26"/>
    </row>
    <row r="139" spans="1:72" x14ac:dyDescent="0.3">
      <c r="A139" s="26"/>
    </row>
    <row r="140" spans="1:72" x14ac:dyDescent="0.3">
      <c r="A140" s="36"/>
    </row>
    <row r="141" spans="1:72" x14ac:dyDescent="0.3">
      <c r="A141" s="36"/>
    </row>
    <row r="142" spans="1:72" s="8" customFormat="1" x14ac:dyDescent="0.3">
      <c r="A142" s="26"/>
      <c r="B142" s="37"/>
      <c r="C142" s="41"/>
      <c r="D142" s="28"/>
      <c r="E142" s="41"/>
      <c r="F142" s="37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</row>
    <row r="143" spans="1:72" s="8" customFormat="1" x14ac:dyDescent="0.3">
      <c r="A143" s="36"/>
      <c r="B143" s="37"/>
      <c r="C143" s="41"/>
      <c r="D143" s="28"/>
      <c r="E143" s="41"/>
      <c r="F143" s="41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</row>
    <row r="144" spans="1:72" x14ac:dyDescent="0.3">
      <c r="A144" s="26"/>
    </row>
    <row r="145" spans="1:21" x14ac:dyDescent="0.3">
      <c r="A145" s="26"/>
      <c r="B145" s="17"/>
    </row>
    <row r="146" spans="1:21" x14ac:dyDescent="0.3">
      <c r="A146" s="26"/>
      <c r="B146" s="17"/>
    </row>
    <row r="147" spans="1:21" x14ac:dyDescent="0.3">
      <c r="A147" s="26"/>
    </row>
    <row r="148" spans="1:21" s="7" customFormat="1" x14ac:dyDescent="0.3">
      <c r="A148" s="38"/>
      <c r="B148" s="39"/>
      <c r="C148" s="40"/>
      <c r="D148" s="28"/>
      <c r="E148" s="40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</row>
    <row r="149" spans="1:21" x14ac:dyDescent="0.3">
      <c r="A149" s="26"/>
    </row>
    <row r="150" spans="1:21" x14ac:dyDescent="0.3">
      <c r="A150" s="26"/>
    </row>
    <row r="151" spans="1:21" s="5" customFormat="1" x14ac:dyDescent="0.3">
      <c r="A151" s="26"/>
      <c r="B151" s="26"/>
      <c r="C151" s="27"/>
      <c r="D151" s="28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8"/>
      <c r="U151" s="28"/>
    </row>
    <row r="152" spans="1:21" s="5" customFormat="1" x14ac:dyDescent="0.3">
      <c r="A152" s="26"/>
      <c r="B152" s="26"/>
      <c r="C152" s="27"/>
      <c r="D152" s="28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8"/>
      <c r="U152" s="28"/>
    </row>
    <row r="153" spans="1:21" s="5" customFormat="1" x14ac:dyDescent="0.3">
      <c r="A153" s="26"/>
      <c r="B153" s="26"/>
      <c r="C153" s="27"/>
      <c r="D153" s="28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8"/>
      <c r="U153" s="28"/>
    </row>
    <row r="154" spans="1:21" x14ac:dyDescent="0.3">
      <c r="A154" s="26"/>
    </row>
    <row r="155" spans="1:21" x14ac:dyDescent="0.3">
      <c r="A155" s="26"/>
    </row>
    <row r="156" spans="1:21" x14ac:dyDescent="0.3">
      <c r="A156" s="26"/>
    </row>
    <row r="157" spans="1:21" x14ac:dyDescent="0.3">
      <c r="A157" s="26"/>
    </row>
    <row r="158" spans="1:21" x14ac:dyDescent="0.3">
      <c r="A158" s="26"/>
    </row>
    <row r="159" spans="1:21" x14ac:dyDescent="0.3">
      <c r="A159" s="26"/>
    </row>
    <row r="160" spans="1:21" x14ac:dyDescent="0.3">
      <c r="A160" s="26"/>
    </row>
    <row r="161" spans="1:1" x14ac:dyDescent="0.3">
      <c r="A161" s="26"/>
    </row>
    <row r="162" spans="1:1" x14ac:dyDescent="0.3">
      <c r="A162" s="26"/>
    </row>
    <row r="163" spans="1:1" x14ac:dyDescent="0.3">
      <c r="A163" s="26"/>
    </row>
    <row r="164" spans="1:1" x14ac:dyDescent="0.3">
      <c r="A164" s="26"/>
    </row>
  </sheetData>
  <mergeCells count="3">
    <mergeCell ref="A1:F1"/>
    <mergeCell ref="G1:P1"/>
    <mergeCell ref="Q1:U1"/>
  </mergeCells>
  <dataValidations count="3">
    <dataValidation type="list" allowBlank="1" showInputMessage="1" showErrorMessage="1" sqref="C100 C102 C104 E100:F100 E102:F102 E104:F104 C112 E112:H112 E117:F117 C117 C122 E122:F122" xr:uid="{00000000-0002-0000-0000-000000000000}">
      <formula1>$S$10:$S$11</formula1>
    </dataValidation>
    <dataValidation type="list" allowBlank="1" showInputMessage="1" showErrorMessage="1" promptTitle="Select type of experiment" sqref="E90:F91 C90:C91" xr:uid="{00000000-0002-0000-0000-000001000000}">
      <formula1>$S$6:$S$8</formula1>
    </dataValidation>
    <dataValidation type="list" allowBlank="1" showInputMessage="1" showErrorMessage="1" sqref="T3" xr:uid="{10679981-61F0-4858-B99C-FC8B7A79E721}">
      <formula1>"Under Review,Revisions Requested, Revised and Resubmitted, Accepted, In Press, Published, Rejected, Withdrawn, Archived"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98693-C302-4EE6-95DF-C354B886458E}">
  <sheetPr codeName="Sheet2"/>
  <dimension ref="A1:C16"/>
  <sheetViews>
    <sheetView workbookViewId="0">
      <selection activeCell="B11" sqref="B11"/>
    </sheetView>
  </sheetViews>
  <sheetFormatPr defaultRowHeight="14.4" x14ac:dyDescent="0.3"/>
  <cols>
    <col min="1" max="1" width="62.33203125" bestFit="1" customWidth="1"/>
    <col min="2" max="2" width="23.109375" customWidth="1"/>
    <col min="3" max="3" width="35.5546875" bestFit="1" customWidth="1"/>
    <col min="4" max="4" width="31.6640625" customWidth="1"/>
    <col min="5" max="5" width="6.33203125" bestFit="1" customWidth="1"/>
  </cols>
  <sheetData>
    <row r="1" spans="1:3" ht="15" thickBot="1" x14ac:dyDescent="0.35">
      <c r="A1" s="15" t="s">
        <v>36</v>
      </c>
      <c r="B1" s="15" t="s">
        <v>11</v>
      </c>
      <c r="C1" s="15" t="s">
        <v>5</v>
      </c>
    </row>
    <row r="2" spans="1:3" x14ac:dyDescent="0.3">
      <c r="A2" t="s">
        <v>35</v>
      </c>
      <c r="B2" t="s">
        <v>63</v>
      </c>
    </row>
    <row r="3" spans="1:3" x14ac:dyDescent="0.3">
      <c r="A3" t="s">
        <v>37</v>
      </c>
      <c r="B3" t="s">
        <v>64</v>
      </c>
    </row>
    <row r="4" spans="1:3" x14ac:dyDescent="0.3">
      <c r="A4" t="s">
        <v>49</v>
      </c>
      <c r="B4" t="s">
        <v>48</v>
      </c>
    </row>
    <row r="5" spans="1:3" x14ac:dyDescent="0.3">
      <c r="A5" t="s">
        <v>65</v>
      </c>
      <c r="B5" t="s">
        <v>66</v>
      </c>
    </row>
    <row r="6" spans="1:3" x14ac:dyDescent="0.3">
      <c r="A6" t="s">
        <v>67</v>
      </c>
      <c r="B6" t="s">
        <v>68</v>
      </c>
    </row>
    <row r="7" spans="1:3" x14ac:dyDescent="0.3">
      <c r="A7" t="s">
        <v>69</v>
      </c>
      <c r="B7">
        <v>483</v>
      </c>
      <c r="C7" t="s">
        <v>70</v>
      </c>
    </row>
    <row r="8" spans="1:3" x14ac:dyDescent="0.3">
      <c r="A8" t="s">
        <v>71</v>
      </c>
      <c r="B8">
        <v>178</v>
      </c>
      <c r="C8" t="s">
        <v>70</v>
      </c>
    </row>
    <row r="9" spans="1:3" x14ac:dyDescent="0.3">
      <c r="A9" t="s">
        <v>72</v>
      </c>
      <c r="B9">
        <v>51</v>
      </c>
      <c r="C9" t="s">
        <v>70</v>
      </c>
    </row>
    <row r="10" spans="1:3" x14ac:dyDescent="0.3">
      <c r="B10" s="4"/>
    </row>
    <row r="11" spans="1:3" x14ac:dyDescent="0.3">
      <c r="B11" s="4"/>
      <c r="C11" s="4"/>
    </row>
    <row r="12" spans="1:3" x14ac:dyDescent="0.3">
      <c r="B12" s="4"/>
    </row>
    <row r="13" spans="1:3" x14ac:dyDescent="0.3">
      <c r="B13" s="4"/>
      <c r="C13" s="4"/>
    </row>
    <row r="16" spans="1:3" x14ac:dyDescent="0.3">
      <c r="A16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759D3-F310-4021-B701-DE954C25292B}">
  <sheetPr codeName="Blad3"/>
  <dimension ref="A1:S18"/>
  <sheetViews>
    <sheetView tabSelected="1" workbookViewId="0">
      <selection activeCell="H14" sqref="H14"/>
    </sheetView>
  </sheetViews>
  <sheetFormatPr defaultRowHeight="14.4" x14ac:dyDescent="0.3"/>
  <cols>
    <col min="1" max="1" width="27.33203125" style="24" bestFit="1" customWidth="1"/>
    <col min="2" max="2" width="24.44140625" bestFit="1" customWidth="1"/>
    <col min="3" max="3" width="26.6640625" bestFit="1" customWidth="1"/>
    <col min="4" max="4" width="18.6640625" bestFit="1" customWidth="1"/>
    <col min="5" max="5" width="22.88671875" bestFit="1" customWidth="1"/>
    <col min="6" max="6" width="15.6640625" bestFit="1" customWidth="1"/>
    <col min="8" max="8" width="40.5546875" bestFit="1" customWidth="1"/>
    <col min="9" max="10" width="26.88671875" bestFit="1" customWidth="1"/>
    <col min="11" max="11" width="28.33203125" bestFit="1" customWidth="1"/>
    <col min="12" max="14" width="18.44140625" bestFit="1" customWidth="1"/>
  </cols>
  <sheetData>
    <row r="1" spans="1:19" s="51" customFormat="1" x14ac:dyDescent="0.3">
      <c r="A1" s="21" t="s">
        <v>38</v>
      </c>
      <c r="B1" s="50" t="s">
        <v>2</v>
      </c>
      <c r="C1" s="50" t="s">
        <v>3</v>
      </c>
      <c r="D1" s="50" t="s">
        <v>39</v>
      </c>
      <c r="E1" s="50" t="s">
        <v>40</v>
      </c>
      <c r="F1" s="50" t="s">
        <v>168</v>
      </c>
    </row>
    <row r="2" spans="1:19" ht="15.6" customHeight="1" x14ac:dyDescent="0.3">
      <c r="A2" s="17" t="s">
        <v>26</v>
      </c>
      <c r="B2" t="s">
        <v>87</v>
      </c>
      <c r="C2" t="s">
        <v>102</v>
      </c>
      <c r="D2" s="18"/>
      <c r="F2">
        <v>17</v>
      </c>
    </row>
    <row r="3" spans="1:19" s="15" customFormat="1" ht="15" thickBot="1" x14ac:dyDescent="0.35">
      <c r="A3" s="17" t="s">
        <v>27</v>
      </c>
      <c r="B3" t="s">
        <v>183</v>
      </c>
      <c r="C3" t="s">
        <v>184</v>
      </c>
      <c r="D3" s="18"/>
      <c r="E3"/>
      <c r="F3" s="48">
        <v>14</v>
      </c>
      <c r="H3"/>
      <c r="I3"/>
      <c r="J3"/>
      <c r="O3"/>
      <c r="P3"/>
      <c r="Q3"/>
      <c r="R3"/>
      <c r="S3"/>
    </row>
    <row r="4" spans="1:19" s="15" customFormat="1" ht="15" thickBot="1" x14ac:dyDescent="0.35">
      <c r="A4" s="17" t="s">
        <v>73</v>
      </c>
      <c r="B4" t="s">
        <v>88</v>
      </c>
      <c r="C4" t="s">
        <v>103</v>
      </c>
      <c r="D4"/>
      <c r="E4"/>
      <c r="F4">
        <v>14</v>
      </c>
      <c r="H4"/>
      <c r="I4"/>
      <c r="J4"/>
    </row>
    <row r="5" spans="1:19" x14ac:dyDescent="0.3">
      <c r="A5" s="17" t="s">
        <v>74</v>
      </c>
      <c r="B5" t="s">
        <v>89</v>
      </c>
      <c r="C5" t="s">
        <v>104</v>
      </c>
      <c r="F5">
        <v>7</v>
      </c>
    </row>
    <row r="6" spans="1:19" x14ac:dyDescent="0.3">
      <c r="A6" s="17" t="s">
        <v>75</v>
      </c>
      <c r="B6" t="s">
        <v>90</v>
      </c>
      <c r="C6" t="s">
        <v>105</v>
      </c>
      <c r="F6">
        <v>6</v>
      </c>
    </row>
    <row r="7" spans="1:19" x14ac:dyDescent="0.3">
      <c r="A7" s="17" t="s">
        <v>76</v>
      </c>
      <c r="B7" t="s">
        <v>91</v>
      </c>
      <c r="C7" t="s">
        <v>106</v>
      </c>
      <c r="F7">
        <v>1</v>
      </c>
    </row>
    <row r="8" spans="1:19" x14ac:dyDescent="0.3">
      <c r="A8" s="17" t="s">
        <v>77</v>
      </c>
      <c r="B8" t="s">
        <v>92</v>
      </c>
      <c r="C8" t="s">
        <v>107</v>
      </c>
      <c r="F8">
        <v>8</v>
      </c>
    </row>
    <row r="9" spans="1:19" x14ac:dyDescent="0.3">
      <c r="A9" s="17" t="s">
        <v>78</v>
      </c>
      <c r="B9" t="s">
        <v>93</v>
      </c>
      <c r="C9" t="s">
        <v>108</v>
      </c>
      <c r="F9">
        <v>6</v>
      </c>
    </row>
    <row r="10" spans="1:19" x14ac:dyDescent="0.3">
      <c r="A10" s="17" t="s">
        <v>79</v>
      </c>
      <c r="B10" t="s">
        <v>94</v>
      </c>
      <c r="C10" t="s">
        <v>109</v>
      </c>
      <c r="F10">
        <v>9</v>
      </c>
    </row>
    <row r="11" spans="1:19" x14ac:dyDescent="0.3">
      <c r="A11" s="17" t="s">
        <v>80</v>
      </c>
      <c r="B11" t="s">
        <v>95</v>
      </c>
      <c r="C11" t="s">
        <v>110</v>
      </c>
      <c r="F11">
        <v>10</v>
      </c>
    </row>
    <row r="12" spans="1:19" x14ac:dyDescent="0.3">
      <c r="A12" s="17" t="s">
        <v>81</v>
      </c>
      <c r="B12" t="s">
        <v>96</v>
      </c>
      <c r="C12" t="s">
        <v>111</v>
      </c>
      <c r="F12">
        <v>23</v>
      </c>
    </row>
    <row r="13" spans="1:19" x14ac:dyDescent="0.3">
      <c r="A13" s="17" t="s">
        <v>82</v>
      </c>
      <c r="B13" t="s">
        <v>97</v>
      </c>
      <c r="C13" t="s">
        <v>112</v>
      </c>
      <c r="F13">
        <v>15</v>
      </c>
    </row>
    <row r="14" spans="1:19" x14ac:dyDescent="0.3">
      <c r="A14" s="17" t="s">
        <v>83</v>
      </c>
      <c r="B14" t="s">
        <v>98</v>
      </c>
      <c r="C14" t="s">
        <v>113</v>
      </c>
      <c r="F14">
        <v>15</v>
      </c>
    </row>
    <row r="15" spans="1:19" x14ac:dyDescent="0.3">
      <c r="A15" s="17" t="s">
        <v>84</v>
      </c>
      <c r="B15" t="s">
        <v>99</v>
      </c>
      <c r="C15" t="s">
        <v>114</v>
      </c>
      <c r="F15">
        <v>9</v>
      </c>
    </row>
    <row r="16" spans="1:19" x14ac:dyDescent="0.3">
      <c r="A16" s="17" t="s">
        <v>85</v>
      </c>
      <c r="B16" t="s">
        <v>100</v>
      </c>
      <c r="C16" t="s">
        <v>115</v>
      </c>
      <c r="F16">
        <v>6</v>
      </c>
    </row>
    <row r="17" spans="1:6" x14ac:dyDescent="0.3">
      <c r="A17" s="17" t="s">
        <v>86</v>
      </c>
      <c r="B17" t="s">
        <v>101</v>
      </c>
      <c r="C17" t="s">
        <v>116</v>
      </c>
      <c r="F17">
        <v>6</v>
      </c>
    </row>
    <row r="18" spans="1:6" x14ac:dyDescent="0.3">
      <c r="A18" s="17"/>
    </row>
  </sheetData>
  <phoneticPr fontId="10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AllOutputs">
                <anchor moveWithCells="1" sizeWithCells="1">
                  <from>
                    <xdr:col>7</xdr:col>
                    <xdr:colOff>7620</xdr:colOff>
                    <xdr:row>4</xdr:row>
                    <xdr:rowOff>175260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5A374-17B9-4C04-9B48-1310FE6EE15F}">
  <sheetPr codeName="Blad5"/>
  <dimension ref="A1:X12"/>
  <sheetViews>
    <sheetView workbookViewId="0">
      <selection activeCell="C2" sqref="C2"/>
    </sheetView>
  </sheetViews>
  <sheetFormatPr defaultRowHeight="14.4" x14ac:dyDescent="0.3"/>
  <cols>
    <col min="1" max="1" width="8.21875" bestFit="1" customWidth="1"/>
    <col min="2" max="2" width="11" bestFit="1" customWidth="1"/>
    <col min="3" max="3" width="17.77734375" bestFit="1" customWidth="1"/>
    <col min="4" max="4" width="13.88671875" bestFit="1" customWidth="1"/>
    <col min="5" max="5" width="16.21875" bestFit="1" customWidth="1"/>
    <col min="6" max="6" width="16.88671875" bestFit="1" customWidth="1"/>
    <col min="7" max="7" width="31.44140625" bestFit="1" customWidth="1"/>
    <col min="8" max="8" width="4.6640625" bestFit="1" customWidth="1"/>
    <col min="9" max="9" width="22.5546875" bestFit="1" customWidth="1"/>
    <col min="10" max="10" width="16.6640625" bestFit="1" customWidth="1"/>
    <col min="11" max="11" width="17.6640625" bestFit="1" customWidth="1"/>
    <col min="12" max="12" width="35.44140625" bestFit="1" customWidth="1"/>
    <col min="13" max="13" width="4.6640625" bestFit="1" customWidth="1"/>
    <col min="14" max="14" width="16.88671875" bestFit="1" customWidth="1"/>
    <col min="15" max="15" width="31.44140625" bestFit="1" customWidth="1"/>
    <col min="16" max="16" width="4.6640625" bestFit="1" customWidth="1"/>
    <col min="17" max="17" width="22.5546875" bestFit="1" customWidth="1"/>
    <col min="18" max="18" width="19.6640625" bestFit="1" customWidth="1"/>
    <col min="19" max="19" width="17.6640625" bestFit="1" customWidth="1"/>
    <col min="20" max="20" width="35.44140625" bestFit="1" customWidth="1"/>
    <col min="21" max="21" width="4.6640625" bestFit="1" customWidth="1"/>
    <col min="22" max="22" width="16.88671875" bestFit="1" customWidth="1"/>
    <col min="23" max="23" width="31.44140625" bestFit="1" customWidth="1"/>
    <col min="24" max="24" width="4.6640625" bestFit="1" customWidth="1"/>
  </cols>
  <sheetData>
    <row r="1" spans="1:24" x14ac:dyDescent="0.3">
      <c r="B1" s="24" t="s">
        <v>185</v>
      </c>
      <c r="C1" s="24" t="s">
        <v>6</v>
      </c>
      <c r="D1" s="24" t="s">
        <v>23</v>
      </c>
      <c r="E1" s="24" t="s">
        <v>50</v>
      </c>
      <c r="G1" s="24"/>
      <c r="H1" s="2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</row>
    <row r="2" spans="1:24" x14ac:dyDescent="0.3">
      <c r="A2" s="25" t="s">
        <v>41</v>
      </c>
      <c r="B2" t="s">
        <v>186</v>
      </c>
      <c r="C2" t="s">
        <v>7</v>
      </c>
      <c r="D2" t="s">
        <v>8</v>
      </c>
      <c r="E2" t="s">
        <v>9</v>
      </c>
      <c r="N2" s="25"/>
      <c r="P2" s="25"/>
      <c r="Q2" s="25"/>
      <c r="S2" s="25"/>
      <c r="V2" s="25"/>
      <c r="X2" s="25"/>
    </row>
    <row r="3" spans="1:24" x14ac:dyDescent="0.3">
      <c r="A3" s="25" t="s">
        <v>42</v>
      </c>
      <c r="B3" t="s">
        <v>187</v>
      </c>
      <c r="C3" t="s">
        <v>7</v>
      </c>
      <c r="D3" t="s">
        <v>8</v>
      </c>
      <c r="E3" t="s">
        <v>9</v>
      </c>
    </row>
    <row r="4" spans="1:24" x14ac:dyDescent="0.3">
      <c r="A4" s="25" t="s">
        <v>43</v>
      </c>
      <c r="B4" t="s">
        <v>188</v>
      </c>
      <c r="C4" t="s">
        <v>25</v>
      </c>
      <c r="D4" t="s">
        <v>136</v>
      </c>
      <c r="E4" t="s">
        <v>137</v>
      </c>
      <c r="F4" s="9"/>
      <c r="N4" s="9"/>
      <c r="V4" s="9"/>
    </row>
    <row r="5" spans="1:24" x14ac:dyDescent="0.3">
      <c r="A5" s="25" t="s">
        <v>44</v>
      </c>
      <c r="B5" t="s">
        <v>189</v>
      </c>
      <c r="C5" t="s">
        <v>25</v>
      </c>
      <c r="D5" t="s">
        <v>136</v>
      </c>
      <c r="E5" t="s">
        <v>137</v>
      </c>
      <c r="F5" s="9"/>
      <c r="G5" s="2"/>
      <c r="N5" s="9"/>
      <c r="O5" s="2"/>
      <c r="V5" s="9"/>
      <c r="W5" s="2"/>
    </row>
    <row r="6" spans="1:24" x14ac:dyDescent="0.3">
      <c r="A6" s="25" t="s">
        <v>45</v>
      </c>
      <c r="B6" t="s">
        <v>190</v>
      </c>
      <c r="C6" t="s">
        <v>132</v>
      </c>
      <c r="D6" t="s">
        <v>134</v>
      </c>
      <c r="E6" t="s">
        <v>135</v>
      </c>
      <c r="F6" s="2"/>
      <c r="G6" s="9"/>
      <c r="N6" s="2"/>
      <c r="O6" s="9"/>
      <c r="V6" s="2"/>
      <c r="W6" s="9"/>
    </row>
    <row r="7" spans="1:24" x14ac:dyDescent="0.3">
      <c r="A7" s="25" t="s">
        <v>46</v>
      </c>
      <c r="B7" t="s">
        <v>191</v>
      </c>
      <c r="C7" t="s">
        <v>133</v>
      </c>
      <c r="D7" t="s">
        <v>134</v>
      </c>
      <c r="E7" t="s">
        <v>135</v>
      </c>
      <c r="F7" s="2"/>
      <c r="G7" s="9"/>
      <c r="H7" s="10"/>
      <c r="N7" s="2"/>
      <c r="O7" s="9"/>
      <c r="P7" s="10"/>
      <c r="V7" s="2"/>
      <c r="W7" s="9"/>
      <c r="X7" s="10"/>
    </row>
    <row r="8" spans="1:24" x14ac:dyDescent="0.3">
      <c r="A8" s="25"/>
    </row>
    <row r="9" spans="1:24" x14ac:dyDescent="0.3">
      <c r="A9" s="25"/>
    </row>
    <row r="10" spans="1:24" x14ac:dyDescent="0.3">
      <c r="A10" s="25"/>
    </row>
    <row r="11" spans="1:24" x14ac:dyDescent="0.3">
      <c r="A11" s="25"/>
    </row>
    <row r="12" spans="1:24" x14ac:dyDescent="0.3">
      <c r="A12" s="25"/>
    </row>
  </sheetData>
  <mergeCells count="2">
    <mergeCell ref="I1:P1"/>
    <mergeCell ref="Q1:X1"/>
  </mergeCells>
  <phoneticPr fontId="10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ED133-1352-4401-9C4E-E56148F33371}">
  <sheetPr codeName="Blad4"/>
  <dimension ref="A1:FS19"/>
  <sheetViews>
    <sheetView zoomScale="70" zoomScaleNormal="70" workbookViewId="0">
      <selection activeCell="D1" sqref="D1"/>
    </sheetView>
  </sheetViews>
  <sheetFormatPr defaultRowHeight="14.4" x14ac:dyDescent="0.3"/>
  <cols>
    <col min="1" max="1" width="18" bestFit="1" customWidth="1"/>
    <col min="2" max="2" width="29" bestFit="1" customWidth="1"/>
    <col min="3" max="3" width="6.6640625" style="16" bestFit="1" customWidth="1"/>
    <col min="4" max="4" width="156.6640625" customWidth="1"/>
    <col min="5" max="5" width="128.44140625" customWidth="1"/>
    <col min="6" max="6" width="29" bestFit="1" customWidth="1"/>
    <col min="7" max="8" width="19" bestFit="1" customWidth="1"/>
    <col min="9" max="9" width="8.88671875" bestFit="1" customWidth="1"/>
    <col min="31" max="31" width="143.6640625" customWidth="1"/>
    <col min="55" max="55" width="166.88671875" customWidth="1"/>
    <col min="76" max="76" width="23.88671875" customWidth="1"/>
    <col min="143" max="143" width="147.33203125" bestFit="1" customWidth="1"/>
    <col min="163" max="163" width="143" customWidth="1"/>
    <col min="169" max="169" width="8.88671875" customWidth="1"/>
  </cols>
  <sheetData>
    <row r="1" spans="1:175" s="24" customFormat="1" x14ac:dyDescent="0.3">
      <c r="A1" s="24" t="s">
        <v>21</v>
      </c>
      <c r="B1" s="24" t="s">
        <v>22</v>
      </c>
      <c r="C1" s="52" t="s">
        <v>5</v>
      </c>
      <c r="D1" s="17" t="s">
        <v>26</v>
      </c>
      <c r="E1" s="69" t="s">
        <v>26</v>
      </c>
      <c r="F1" s="69" t="s">
        <v>26</v>
      </c>
      <c r="G1" s="69" t="s">
        <v>26</v>
      </c>
      <c r="H1" s="69" t="s">
        <v>26</v>
      </c>
      <c r="I1" s="69" t="s">
        <v>26</v>
      </c>
      <c r="J1" s="69" t="s">
        <v>26</v>
      </c>
      <c r="K1" s="69" t="s">
        <v>26</v>
      </c>
      <c r="L1" s="69" t="s">
        <v>26</v>
      </c>
      <c r="M1" s="69" t="s">
        <v>26</v>
      </c>
      <c r="N1" s="69" t="s">
        <v>26</v>
      </c>
      <c r="O1" s="69" t="s">
        <v>26</v>
      </c>
      <c r="P1" s="69" t="s">
        <v>26</v>
      </c>
      <c r="Q1" s="69" t="s">
        <v>26</v>
      </c>
      <c r="R1" s="69" t="s">
        <v>26</v>
      </c>
      <c r="S1" s="69" t="s">
        <v>26</v>
      </c>
      <c r="T1" s="69" t="s">
        <v>26</v>
      </c>
      <c r="U1" s="69" t="s">
        <v>27</v>
      </c>
      <c r="V1" s="69" t="s">
        <v>27</v>
      </c>
      <c r="W1" s="69" t="s">
        <v>27</v>
      </c>
      <c r="X1" s="69" t="s">
        <v>27</v>
      </c>
      <c r="Y1" s="69" t="s">
        <v>27</v>
      </c>
      <c r="Z1" s="69" t="s">
        <v>27</v>
      </c>
      <c r="AA1" s="69" t="s">
        <v>27</v>
      </c>
      <c r="AB1" s="69" t="s">
        <v>27</v>
      </c>
      <c r="AC1" s="69" t="s">
        <v>27</v>
      </c>
      <c r="AD1" s="69" t="s">
        <v>27</v>
      </c>
      <c r="AE1" s="69" t="s">
        <v>27</v>
      </c>
      <c r="AF1" s="69" t="s">
        <v>27</v>
      </c>
      <c r="AG1" s="69" t="s">
        <v>27</v>
      </c>
      <c r="AH1" s="69" t="s">
        <v>27</v>
      </c>
      <c r="AI1" s="69" t="s">
        <v>73</v>
      </c>
      <c r="AJ1" s="69" t="s">
        <v>73</v>
      </c>
      <c r="AK1" s="69" t="s">
        <v>73</v>
      </c>
      <c r="AL1" s="69" t="s">
        <v>73</v>
      </c>
      <c r="AM1" s="69" t="s">
        <v>73</v>
      </c>
      <c r="AN1" s="69" t="s">
        <v>73</v>
      </c>
      <c r="AO1" s="69" t="s">
        <v>73</v>
      </c>
      <c r="AP1" s="69" t="s">
        <v>73</v>
      </c>
      <c r="AQ1" s="69" t="s">
        <v>73</v>
      </c>
      <c r="AR1" s="69" t="s">
        <v>73</v>
      </c>
      <c r="AS1" s="69" t="s">
        <v>73</v>
      </c>
      <c r="AT1" s="69" t="s">
        <v>73</v>
      </c>
      <c r="AU1" s="69" t="s">
        <v>73</v>
      </c>
      <c r="AV1" s="69" t="s">
        <v>73</v>
      </c>
      <c r="AW1" s="69" t="s">
        <v>74</v>
      </c>
      <c r="AX1" s="69" t="s">
        <v>74</v>
      </c>
      <c r="AY1" s="69" t="s">
        <v>74</v>
      </c>
      <c r="AZ1" s="69" t="s">
        <v>74</v>
      </c>
      <c r="BA1" s="69" t="s">
        <v>74</v>
      </c>
      <c r="BB1" s="69" t="s">
        <v>74</v>
      </c>
      <c r="BC1" s="69" t="s">
        <v>74</v>
      </c>
      <c r="BD1" s="69" t="s">
        <v>75</v>
      </c>
      <c r="BE1" s="69" t="s">
        <v>75</v>
      </c>
      <c r="BF1" s="69" t="s">
        <v>75</v>
      </c>
      <c r="BG1" s="69" t="s">
        <v>75</v>
      </c>
      <c r="BH1" s="69" t="s">
        <v>75</v>
      </c>
      <c r="BI1" s="69" t="s">
        <v>75</v>
      </c>
      <c r="BJ1" s="69" t="s">
        <v>76</v>
      </c>
      <c r="BK1" s="69" t="s">
        <v>77</v>
      </c>
      <c r="BL1" s="69" t="s">
        <v>77</v>
      </c>
      <c r="BM1" s="69" t="s">
        <v>77</v>
      </c>
      <c r="BN1" s="69" t="s">
        <v>77</v>
      </c>
      <c r="BO1" s="69" t="s">
        <v>77</v>
      </c>
      <c r="BP1" s="69" t="s">
        <v>77</v>
      </c>
      <c r="BQ1" s="69" t="s">
        <v>77</v>
      </c>
      <c r="BR1" s="69" t="s">
        <v>77</v>
      </c>
      <c r="BS1" s="69" t="s">
        <v>78</v>
      </c>
      <c r="BT1" s="69" t="s">
        <v>78</v>
      </c>
      <c r="BU1" s="69" t="s">
        <v>78</v>
      </c>
      <c r="BV1" s="69" t="s">
        <v>78</v>
      </c>
      <c r="BW1" s="69" t="s">
        <v>78</v>
      </c>
      <c r="BX1" s="69" t="s">
        <v>78</v>
      </c>
      <c r="BY1" s="69" t="s">
        <v>79</v>
      </c>
      <c r="BZ1" s="69" t="s">
        <v>79</v>
      </c>
      <c r="CA1" s="69" t="s">
        <v>79</v>
      </c>
      <c r="CB1" s="69" t="s">
        <v>79</v>
      </c>
      <c r="CC1" s="69" t="s">
        <v>79</v>
      </c>
      <c r="CD1" s="69" t="s">
        <v>79</v>
      </c>
      <c r="CE1" s="69" t="s">
        <v>79</v>
      </c>
      <c r="CF1" s="69" t="s">
        <v>79</v>
      </c>
      <c r="CG1" s="69" t="s">
        <v>79</v>
      </c>
      <c r="CH1" s="69" t="s">
        <v>80</v>
      </c>
      <c r="CI1" s="69" t="s">
        <v>80</v>
      </c>
      <c r="CJ1" s="69" t="s">
        <v>80</v>
      </c>
      <c r="CK1" s="69" t="s">
        <v>80</v>
      </c>
      <c r="CL1" s="69" t="s">
        <v>80</v>
      </c>
      <c r="CM1" s="69" t="s">
        <v>80</v>
      </c>
      <c r="CN1" s="69" t="s">
        <v>80</v>
      </c>
      <c r="CO1" s="69" t="s">
        <v>80</v>
      </c>
      <c r="CP1" s="69" t="s">
        <v>80</v>
      </c>
      <c r="CQ1" s="69" t="s">
        <v>80</v>
      </c>
      <c r="CR1" s="69" t="s">
        <v>81</v>
      </c>
      <c r="CS1" s="69" t="s">
        <v>81</v>
      </c>
      <c r="CT1" s="69" t="s">
        <v>81</v>
      </c>
      <c r="CU1" s="69" t="s">
        <v>81</v>
      </c>
      <c r="CV1" s="69" t="s">
        <v>81</v>
      </c>
      <c r="CW1" s="69" t="s">
        <v>81</v>
      </c>
      <c r="CX1" s="69" t="s">
        <v>81</v>
      </c>
      <c r="CY1" s="69" t="s">
        <v>81</v>
      </c>
      <c r="CZ1" s="69" t="s">
        <v>81</v>
      </c>
      <c r="DA1" s="69" t="s">
        <v>81</v>
      </c>
      <c r="DB1" s="69" t="s">
        <v>81</v>
      </c>
      <c r="DC1" s="69" t="s">
        <v>81</v>
      </c>
      <c r="DD1" s="69" t="s">
        <v>81</v>
      </c>
      <c r="DE1" s="69" t="s">
        <v>81</v>
      </c>
      <c r="DF1" s="69" t="s">
        <v>81</v>
      </c>
      <c r="DG1" s="69" t="s">
        <v>81</v>
      </c>
      <c r="DH1" s="69" t="s">
        <v>81</v>
      </c>
      <c r="DI1" s="69" t="s">
        <v>81</v>
      </c>
      <c r="DJ1" s="69" t="s">
        <v>81</v>
      </c>
      <c r="DK1" s="69" t="s">
        <v>81</v>
      </c>
      <c r="DL1" s="69" t="s">
        <v>81</v>
      </c>
      <c r="DM1" s="69" t="s">
        <v>81</v>
      </c>
      <c r="DN1" s="69" t="s">
        <v>81</v>
      </c>
      <c r="DO1" s="69" t="s">
        <v>82</v>
      </c>
      <c r="DP1" s="69" t="s">
        <v>82</v>
      </c>
      <c r="DQ1" s="69" t="s">
        <v>82</v>
      </c>
      <c r="DR1" s="69" t="s">
        <v>82</v>
      </c>
      <c r="DS1" s="69" t="s">
        <v>82</v>
      </c>
      <c r="DT1" s="69" t="s">
        <v>82</v>
      </c>
      <c r="DU1" s="69" t="s">
        <v>82</v>
      </c>
      <c r="DV1" s="69" t="s">
        <v>82</v>
      </c>
      <c r="DW1" s="69" t="s">
        <v>82</v>
      </c>
      <c r="DX1" s="69" t="s">
        <v>82</v>
      </c>
      <c r="DY1" s="69" t="s">
        <v>82</v>
      </c>
      <c r="DZ1" s="69" t="s">
        <v>82</v>
      </c>
      <c r="EA1" s="69" t="s">
        <v>82</v>
      </c>
      <c r="EB1" s="69" t="s">
        <v>82</v>
      </c>
      <c r="EC1" s="69" t="s">
        <v>82</v>
      </c>
      <c r="ED1" s="69" t="s">
        <v>83</v>
      </c>
      <c r="EE1" s="69" t="s">
        <v>83</v>
      </c>
      <c r="EF1" s="69" t="s">
        <v>83</v>
      </c>
      <c r="EG1" s="69" t="s">
        <v>83</v>
      </c>
      <c r="EH1" s="69" t="s">
        <v>83</v>
      </c>
      <c r="EI1" s="69" t="s">
        <v>83</v>
      </c>
      <c r="EJ1" s="69" t="s">
        <v>83</v>
      </c>
      <c r="EK1" s="69" t="s">
        <v>83</v>
      </c>
      <c r="EL1" s="69" t="s">
        <v>83</v>
      </c>
      <c r="EM1" s="69" t="s">
        <v>83</v>
      </c>
      <c r="EN1" s="69" t="s">
        <v>83</v>
      </c>
      <c r="EO1" s="69" t="s">
        <v>83</v>
      </c>
      <c r="EP1" s="69" t="s">
        <v>83</v>
      </c>
      <c r="EQ1" s="69" t="s">
        <v>83</v>
      </c>
      <c r="ER1" s="69" t="s">
        <v>83</v>
      </c>
      <c r="ES1" s="69" t="s">
        <v>84</v>
      </c>
      <c r="ET1" s="69" t="s">
        <v>84</v>
      </c>
      <c r="EU1" s="69" t="s">
        <v>84</v>
      </c>
      <c r="EV1" s="69" t="s">
        <v>84</v>
      </c>
      <c r="EW1" s="69" t="s">
        <v>84</v>
      </c>
      <c r="EX1" s="69" t="s">
        <v>84</v>
      </c>
      <c r="EY1" s="69" t="s">
        <v>84</v>
      </c>
      <c r="EZ1" s="69" t="s">
        <v>84</v>
      </c>
      <c r="FA1" s="69" t="s">
        <v>84</v>
      </c>
      <c r="FB1" s="69" t="s">
        <v>85</v>
      </c>
      <c r="FC1" s="69" t="s">
        <v>85</v>
      </c>
      <c r="FD1" s="69" t="s">
        <v>85</v>
      </c>
      <c r="FE1" s="69" t="s">
        <v>85</v>
      </c>
      <c r="FF1" s="69" t="s">
        <v>85</v>
      </c>
      <c r="FG1" s="69" t="s">
        <v>85</v>
      </c>
      <c r="FH1" s="69" t="s">
        <v>86</v>
      </c>
      <c r="FI1" s="69" t="s">
        <v>86</v>
      </c>
      <c r="FJ1" s="69" t="s">
        <v>86</v>
      </c>
      <c r="FK1" s="69" t="s">
        <v>86</v>
      </c>
      <c r="FL1" s="69" t="s">
        <v>86</v>
      </c>
      <c r="FM1" s="69" t="s">
        <v>86</v>
      </c>
      <c r="FN1" s="69"/>
      <c r="FO1" s="17"/>
      <c r="FP1" s="17"/>
      <c r="FQ1" s="17"/>
      <c r="FR1" s="17"/>
      <c r="FS1" s="17"/>
    </row>
    <row r="2" spans="1:175" ht="15" thickBot="1" x14ac:dyDescent="0.35">
      <c r="A2" s="54"/>
      <c r="B2" s="54"/>
      <c r="C2" s="55"/>
      <c r="D2" s="24" t="s">
        <v>192</v>
      </c>
      <c r="E2" s="70" t="s">
        <v>193</v>
      </c>
      <c r="F2" s="70" t="s">
        <v>194</v>
      </c>
      <c r="G2" s="70" t="s">
        <v>195</v>
      </c>
      <c r="H2" s="70" t="s">
        <v>196</v>
      </c>
      <c r="I2" s="70" t="s">
        <v>197</v>
      </c>
      <c r="J2" s="70" t="s">
        <v>198</v>
      </c>
      <c r="K2" s="70" t="s">
        <v>199</v>
      </c>
      <c r="L2" s="70" t="s">
        <v>200</v>
      </c>
      <c r="M2" s="70" t="s">
        <v>169</v>
      </c>
      <c r="N2" s="70" t="s">
        <v>170</v>
      </c>
      <c r="O2" s="70" t="s">
        <v>171</v>
      </c>
      <c r="P2" s="70" t="s">
        <v>172</v>
      </c>
      <c r="Q2" s="70" t="s">
        <v>173</v>
      </c>
      <c r="R2" s="70" t="s">
        <v>174</v>
      </c>
      <c r="S2" s="70" t="s">
        <v>175</v>
      </c>
      <c r="T2" s="70" t="s">
        <v>176</v>
      </c>
      <c r="U2" s="70" t="s">
        <v>192</v>
      </c>
      <c r="V2" s="70" t="s">
        <v>193</v>
      </c>
      <c r="W2" s="70" t="s">
        <v>194</v>
      </c>
      <c r="X2" s="70" t="s">
        <v>195</v>
      </c>
      <c r="Y2" s="70" t="s">
        <v>196</v>
      </c>
      <c r="Z2" s="70" t="s">
        <v>197</v>
      </c>
      <c r="AA2" s="70" t="s">
        <v>198</v>
      </c>
      <c r="AB2" s="70" t="s">
        <v>199</v>
      </c>
      <c r="AC2" s="70" t="s">
        <v>200</v>
      </c>
      <c r="AD2" s="70" t="s">
        <v>169</v>
      </c>
      <c r="AE2" s="70" t="s">
        <v>170</v>
      </c>
      <c r="AF2" s="70" t="s">
        <v>171</v>
      </c>
      <c r="AG2" s="70" t="s">
        <v>172</v>
      </c>
      <c r="AH2" s="70" t="s">
        <v>173</v>
      </c>
      <c r="AI2" s="70" t="s">
        <v>192</v>
      </c>
      <c r="AJ2" s="70" t="s">
        <v>193</v>
      </c>
      <c r="AK2" s="70" t="s">
        <v>194</v>
      </c>
      <c r="AL2" s="70" t="s">
        <v>195</v>
      </c>
      <c r="AM2" s="70" t="s">
        <v>196</v>
      </c>
      <c r="AN2" s="70" t="s">
        <v>197</v>
      </c>
      <c r="AO2" s="70" t="s">
        <v>198</v>
      </c>
      <c r="AP2" s="70" t="s">
        <v>199</v>
      </c>
      <c r="AQ2" s="70" t="s">
        <v>200</v>
      </c>
      <c r="AR2" s="70" t="s">
        <v>169</v>
      </c>
      <c r="AS2" s="70" t="s">
        <v>170</v>
      </c>
      <c r="AT2" s="70" t="s">
        <v>171</v>
      </c>
      <c r="AU2" s="70" t="s">
        <v>172</v>
      </c>
      <c r="AV2" s="70" t="s">
        <v>173</v>
      </c>
      <c r="AW2" s="70" t="s">
        <v>192</v>
      </c>
      <c r="AX2" s="70" t="s">
        <v>193</v>
      </c>
      <c r="AY2" s="70" t="s">
        <v>194</v>
      </c>
      <c r="AZ2" s="70" t="s">
        <v>195</v>
      </c>
      <c r="BA2" s="70" t="s">
        <v>196</v>
      </c>
      <c r="BB2" s="70" t="s">
        <v>197</v>
      </c>
      <c r="BC2" s="70" t="s">
        <v>198</v>
      </c>
      <c r="BD2" s="70" t="s">
        <v>192</v>
      </c>
      <c r="BE2" s="70" t="s">
        <v>193</v>
      </c>
      <c r="BF2" s="70" t="s">
        <v>194</v>
      </c>
      <c r="BG2" s="70" t="s">
        <v>195</v>
      </c>
      <c r="BH2" s="70" t="s">
        <v>196</v>
      </c>
      <c r="BI2" s="70" t="s">
        <v>197</v>
      </c>
      <c r="BJ2" s="70" t="s">
        <v>192</v>
      </c>
      <c r="BK2" s="70" t="s">
        <v>192</v>
      </c>
      <c r="BL2" s="70" t="s">
        <v>193</v>
      </c>
      <c r="BM2" s="70" t="s">
        <v>194</v>
      </c>
      <c r="BN2" s="70" t="s">
        <v>195</v>
      </c>
      <c r="BO2" s="70" t="s">
        <v>196</v>
      </c>
      <c r="BP2" s="70" t="s">
        <v>197</v>
      </c>
      <c r="BQ2" s="70" t="s">
        <v>198</v>
      </c>
      <c r="BR2" s="70" t="s">
        <v>199</v>
      </c>
      <c r="BS2" s="70" t="s">
        <v>192</v>
      </c>
      <c r="BT2" s="70" t="s">
        <v>193</v>
      </c>
      <c r="BU2" s="70" t="s">
        <v>194</v>
      </c>
      <c r="BV2" s="70" t="s">
        <v>195</v>
      </c>
      <c r="BW2" s="70" t="s">
        <v>196</v>
      </c>
      <c r="BX2" s="70" t="s">
        <v>197</v>
      </c>
      <c r="BY2" s="70" t="s">
        <v>192</v>
      </c>
      <c r="BZ2" s="70" t="s">
        <v>193</v>
      </c>
      <c r="CA2" s="70" t="s">
        <v>194</v>
      </c>
      <c r="CB2" s="70" t="s">
        <v>195</v>
      </c>
      <c r="CC2" s="70" t="s">
        <v>196</v>
      </c>
      <c r="CD2" s="70" t="s">
        <v>197</v>
      </c>
      <c r="CE2" s="70" t="s">
        <v>198</v>
      </c>
      <c r="CF2" s="70" t="s">
        <v>199</v>
      </c>
      <c r="CG2" s="70" t="s">
        <v>200</v>
      </c>
      <c r="CH2" s="70" t="s">
        <v>192</v>
      </c>
      <c r="CI2" s="70" t="s">
        <v>193</v>
      </c>
      <c r="CJ2" s="70" t="s">
        <v>194</v>
      </c>
      <c r="CK2" s="70" t="s">
        <v>195</v>
      </c>
      <c r="CL2" s="70" t="s">
        <v>196</v>
      </c>
      <c r="CM2" s="70" t="s">
        <v>197</v>
      </c>
      <c r="CN2" s="70" t="s">
        <v>198</v>
      </c>
      <c r="CO2" s="70" t="s">
        <v>199</v>
      </c>
      <c r="CP2" s="70" t="s">
        <v>200</v>
      </c>
      <c r="CQ2" s="70" t="s">
        <v>169</v>
      </c>
      <c r="CR2" s="70" t="s">
        <v>192</v>
      </c>
      <c r="CS2" s="70" t="s">
        <v>193</v>
      </c>
      <c r="CT2" s="70" t="s">
        <v>194</v>
      </c>
      <c r="CU2" s="70" t="s">
        <v>195</v>
      </c>
      <c r="CV2" s="70" t="s">
        <v>196</v>
      </c>
      <c r="CW2" s="70" t="s">
        <v>197</v>
      </c>
      <c r="CX2" s="70" t="s">
        <v>198</v>
      </c>
      <c r="CY2" s="70" t="s">
        <v>199</v>
      </c>
      <c r="CZ2" s="70" t="s">
        <v>200</v>
      </c>
      <c r="DA2" s="70" t="s">
        <v>169</v>
      </c>
      <c r="DB2" s="70" t="s">
        <v>170</v>
      </c>
      <c r="DC2" s="70" t="s">
        <v>171</v>
      </c>
      <c r="DD2" s="70" t="s">
        <v>172</v>
      </c>
      <c r="DE2" s="70" t="s">
        <v>173</v>
      </c>
      <c r="DF2" s="70" t="s">
        <v>174</v>
      </c>
      <c r="DG2" s="70" t="s">
        <v>175</v>
      </c>
      <c r="DH2" s="70" t="s">
        <v>176</v>
      </c>
      <c r="DI2" s="70" t="s">
        <v>177</v>
      </c>
      <c r="DJ2" s="70" t="s">
        <v>178</v>
      </c>
      <c r="DK2" s="70" t="s">
        <v>179</v>
      </c>
      <c r="DL2" s="70" t="s">
        <v>180</v>
      </c>
      <c r="DM2" s="70" t="s">
        <v>181</v>
      </c>
      <c r="DN2" s="70" t="s">
        <v>182</v>
      </c>
      <c r="DO2" s="70" t="s">
        <v>192</v>
      </c>
      <c r="DP2" s="70" t="s">
        <v>193</v>
      </c>
      <c r="DQ2" s="70" t="s">
        <v>194</v>
      </c>
      <c r="DR2" s="70" t="s">
        <v>195</v>
      </c>
      <c r="DS2" s="70" t="s">
        <v>196</v>
      </c>
      <c r="DT2" s="70" t="s">
        <v>197</v>
      </c>
      <c r="DU2" s="70" t="s">
        <v>198</v>
      </c>
      <c r="DV2" s="70" t="s">
        <v>199</v>
      </c>
      <c r="DW2" s="70" t="s">
        <v>200</v>
      </c>
      <c r="DX2" s="70" t="s">
        <v>169</v>
      </c>
      <c r="DY2" s="70" t="s">
        <v>170</v>
      </c>
      <c r="DZ2" s="70" t="s">
        <v>171</v>
      </c>
      <c r="EA2" s="70" t="s">
        <v>172</v>
      </c>
      <c r="EB2" s="70" t="s">
        <v>173</v>
      </c>
      <c r="EC2" s="70" t="s">
        <v>174</v>
      </c>
      <c r="ED2" s="70" t="s">
        <v>192</v>
      </c>
      <c r="EE2" s="70" t="s">
        <v>193</v>
      </c>
      <c r="EF2" s="70" t="s">
        <v>194</v>
      </c>
      <c r="EG2" s="70" t="s">
        <v>195</v>
      </c>
      <c r="EH2" s="70" t="s">
        <v>196</v>
      </c>
      <c r="EI2" s="70" t="s">
        <v>197</v>
      </c>
      <c r="EJ2" s="70" t="s">
        <v>198</v>
      </c>
      <c r="EK2" s="70" t="s">
        <v>199</v>
      </c>
      <c r="EL2" s="70" t="s">
        <v>200</v>
      </c>
      <c r="EM2" s="70" t="s">
        <v>169</v>
      </c>
      <c r="EN2" s="70" t="s">
        <v>170</v>
      </c>
      <c r="EO2" s="70" t="s">
        <v>171</v>
      </c>
      <c r="EP2" s="70" t="s">
        <v>172</v>
      </c>
      <c r="EQ2" s="70" t="s">
        <v>173</v>
      </c>
      <c r="ER2" s="70" t="s">
        <v>174</v>
      </c>
      <c r="ES2" s="70" t="s">
        <v>192</v>
      </c>
      <c r="ET2" s="70" t="s">
        <v>193</v>
      </c>
      <c r="EU2" s="70" t="s">
        <v>194</v>
      </c>
      <c r="EV2" s="70" t="s">
        <v>195</v>
      </c>
      <c r="EW2" s="70" t="s">
        <v>196</v>
      </c>
      <c r="EX2" s="70" t="s">
        <v>197</v>
      </c>
      <c r="EY2" s="70" t="s">
        <v>198</v>
      </c>
      <c r="EZ2" s="70" t="s">
        <v>199</v>
      </c>
      <c r="FA2" s="70" t="s">
        <v>200</v>
      </c>
      <c r="FB2" s="70" t="s">
        <v>192</v>
      </c>
      <c r="FC2" s="70" t="s">
        <v>193</v>
      </c>
      <c r="FD2" s="70" t="s">
        <v>194</v>
      </c>
      <c r="FE2" s="70" t="s">
        <v>195</v>
      </c>
      <c r="FF2" s="70" t="s">
        <v>196</v>
      </c>
      <c r="FG2" s="70" t="s">
        <v>197</v>
      </c>
      <c r="FH2" s="70" t="s">
        <v>192</v>
      </c>
      <c r="FI2" s="70" t="s">
        <v>193</v>
      </c>
      <c r="FJ2" s="70" t="s">
        <v>194</v>
      </c>
      <c r="FK2" s="70" t="s">
        <v>195</v>
      </c>
      <c r="FL2" s="70" t="s">
        <v>196</v>
      </c>
      <c r="FM2" s="70" t="s">
        <v>197</v>
      </c>
      <c r="FN2" s="70"/>
      <c r="FO2" s="24"/>
      <c r="FP2" s="24"/>
    </row>
    <row r="3" spans="1:175" x14ac:dyDescent="0.3">
      <c r="A3" t="s">
        <v>124</v>
      </c>
      <c r="B3" t="s">
        <v>124</v>
      </c>
      <c r="C3" s="16" t="s">
        <v>70</v>
      </c>
      <c r="D3" t="str">
        <f t="shared" ref="D3:AI3" si="0">"D:\DPL\ISA3\Example Implementations\NASA Tool Wear\01) N_studies_with_1_assay_each\Data_mill\Case_"&amp;_xlfn.TEXTAFTER(D$1,"s")&amp;"\Settings\time\Case_"&amp;_xlfn.TEXTAFTER(D$1,"s")&amp;"_time_run_"&amp;_xlfn.TEXTAFTER(D$2,"Run ")&amp;".csv"</f>
        <v>D:\DPL\ISA3\Example Implementations\NASA Tool Wear\01) N_studies_with_1_assay_each\Data_mill\Case_01\Settings\time\Case_01_time_run_01.csv</v>
      </c>
      <c r="E3" s="71" t="str">
        <f t="shared" si="0"/>
        <v>D:\DPL\ISA3\Example Implementations\NASA Tool Wear\01) N_studies_with_1_assay_each\Data_mill\Case_01\Settings\time\Case_01_time_run_02.csv</v>
      </c>
      <c r="F3" s="71" t="str">
        <f t="shared" si="0"/>
        <v>D:\DPL\ISA3\Example Implementations\NASA Tool Wear\01) N_studies_with_1_assay_each\Data_mill\Case_01\Settings\time\Case_01_time_run_03.csv</v>
      </c>
      <c r="G3" s="71" t="str">
        <f t="shared" si="0"/>
        <v>D:\DPL\ISA3\Example Implementations\NASA Tool Wear\01) N_studies_with_1_assay_each\Data_mill\Case_01\Settings\time\Case_01_time_run_04.csv</v>
      </c>
      <c r="H3" s="71" t="str">
        <f t="shared" si="0"/>
        <v>D:\DPL\ISA3\Example Implementations\NASA Tool Wear\01) N_studies_with_1_assay_each\Data_mill\Case_01\Settings\time\Case_01_time_run_05.csv</v>
      </c>
      <c r="I3" s="71" t="str">
        <f t="shared" si="0"/>
        <v>D:\DPL\ISA3\Example Implementations\NASA Tool Wear\01) N_studies_with_1_assay_each\Data_mill\Case_01\Settings\time\Case_01_time_run_06.csv</v>
      </c>
      <c r="J3" s="71" t="str">
        <f t="shared" si="0"/>
        <v>D:\DPL\ISA3\Example Implementations\NASA Tool Wear\01) N_studies_with_1_assay_each\Data_mill\Case_01\Settings\time\Case_01_time_run_07.csv</v>
      </c>
      <c r="K3" s="71" t="str">
        <f t="shared" si="0"/>
        <v>D:\DPL\ISA3\Example Implementations\NASA Tool Wear\01) N_studies_with_1_assay_each\Data_mill\Case_01\Settings\time\Case_01_time_run_08.csv</v>
      </c>
      <c r="L3" s="71" t="str">
        <f t="shared" si="0"/>
        <v>D:\DPL\ISA3\Example Implementations\NASA Tool Wear\01) N_studies_with_1_assay_each\Data_mill\Case_01\Settings\time\Case_01_time_run_09.csv</v>
      </c>
      <c r="M3" s="71" t="str">
        <f t="shared" si="0"/>
        <v>D:\DPL\ISA3\Example Implementations\NASA Tool Wear\01) N_studies_with_1_assay_each\Data_mill\Case_01\Settings\time\Case_01_time_run_10.csv</v>
      </c>
      <c r="N3" s="71" t="str">
        <f t="shared" si="0"/>
        <v>D:\DPL\ISA3\Example Implementations\NASA Tool Wear\01) N_studies_with_1_assay_each\Data_mill\Case_01\Settings\time\Case_01_time_run_11.csv</v>
      </c>
      <c r="O3" s="71" t="str">
        <f t="shared" si="0"/>
        <v>D:\DPL\ISA3\Example Implementations\NASA Tool Wear\01) N_studies_with_1_assay_each\Data_mill\Case_01\Settings\time\Case_01_time_run_12.csv</v>
      </c>
      <c r="P3" s="71" t="str">
        <f t="shared" si="0"/>
        <v>D:\DPL\ISA3\Example Implementations\NASA Tool Wear\01) N_studies_with_1_assay_each\Data_mill\Case_01\Settings\time\Case_01_time_run_13.csv</v>
      </c>
      <c r="Q3" s="71" t="str">
        <f t="shared" si="0"/>
        <v>D:\DPL\ISA3\Example Implementations\NASA Tool Wear\01) N_studies_with_1_assay_each\Data_mill\Case_01\Settings\time\Case_01_time_run_14.csv</v>
      </c>
      <c r="R3" s="71" t="str">
        <f t="shared" si="0"/>
        <v>D:\DPL\ISA3\Example Implementations\NASA Tool Wear\01) N_studies_with_1_assay_each\Data_mill\Case_01\Settings\time\Case_01_time_run_15.csv</v>
      </c>
      <c r="S3" s="71" t="str">
        <f t="shared" si="0"/>
        <v>D:\DPL\ISA3\Example Implementations\NASA Tool Wear\01) N_studies_with_1_assay_each\Data_mill\Case_01\Settings\time\Case_01_time_run_16.csv</v>
      </c>
      <c r="T3" s="71" t="str">
        <f t="shared" si="0"/>
        <v>D:\DPL\ISA3\Example Implementations\NASA Tool Wear\01) N_studies_with_1_assay_each\Data_mill\Case_01\Settings\time\Case_01_time_run_17.csv</v>
      </c>
      <c r="U3" s="71" t="str">
        <f t="shared" si="0"/>
        <v>D:\DPL\ISA3\Example Implementations\NASA Tool Wear\01) N_studies_with_1_assay_each\Data_mill\Case_02\Settings\time\Case_02_time_run_01.csv</v>
      </c>
      <c r="V3" s="71" t="str">
        <f t="shared" si="0"/>
        <v>D:\DPL\ISA3\Example Implementations\NASA Tool Wear\01) N_studies_with_1_assay_each\Data_mill\Case_02\Settings\time\Case_02_time_run_02.csv</v>
      </c>
      <c r="W3" s="71" t="str">
        <f t="shared" si="0"/>
        <v>D:\DPL\ISA3\Example Implementations\NASA Tool Wear\01) N_studies_with_1_assay_each\Data_mill\Case_02\Settings\time\Case_02_time_run_03.csv</v>
      </c>
      <c r="X3" s="71" t="str">
        <f t="shared" si="0"/>
        <v>D:\DPL\ISA3\Example Implementations\NASA Tool Wear\01) N_studies_with_1_assay_each\Data_mill\Case_02\Settings\time\Case_02_time_run_04.csv</v>
      </c>
      <c r="Y3" s="71" t="str">
        <f t="shared" si="0"/>
        <v>D:\DPL\ISA3\Example Implementations\NASA Tool Wear\01) N_studies_with_1_assay_each\Data_mill\Case_02\Settings\time\Case_02_time_run_05.csv</v>
      </c>
      <c r="Z3" s="71" t="str">
        <f t="shared" si="0"/>
        <v>D:\DPL\ISA3\Example Implementations\NASA Tool Wear\01) N_studies_with_1_assay_each\Data_mill\Case_02\Settings\time\Case_02_time_run_06.csv</v>
      </c>
      <c r="AA3" s="71" t="str">
        <f t="shared" si="0"/>
        <v>D:\DPL\ISA3\Example Implementations\NASA Tool Wear\01) N_studies_with_1_assay_each\Data_mill\Case_02\Settings\time\Case_02_time_run_07.csv</v>
      </c>
      <c r="AB3" s="71" t="str">
        <f t="shared" si="0"/>
        <v>D:\DPL\ISA3\Example Implementations\NASA Tool Wear\01) N_studies_with_1_assay_each\Data_mill\Case_02\Settings\time\Case_02_time_run_08.csv</v>
      </c>
      <c r="AC3" s="71" t="str">
        <f t="shared" si="0"/>
        <v>D:\DPL\ISA3\Example Implementations\NASA Tool Wear\01) N_studies_with_1_assay_each\Data_mill\Case_02\Settings\time\Case_02_time_run_09.csv</v>
      </c>
      <c r="AD3" s="71" t="str">
        <f t="shared" si="0"/>
        <v>D:\DPL\ISA3\Example Implementations\NASA Tool Wear\01) N_studies_with_1_assay_each\Data_mill\Case_02\Settings\time\Case_02_time_run_10.csv</v>
      </c>
      <c r="AE3" s="71" t="str">
        <f t="shared" si="0"/>
        <v>D:\DPL\ISA3\Example Implementations\NASA Tool Wear\01) N_studies_with_1_assay_each\Data_mill\Case_02\Settings\time\Case_02_time_run_11.csv</v>
      </c>
      <c r="AF3" s="71" t="str">
        <f t="shared" si="0"/>
        <v>D:\DPL\ISA3\Example Implementations\NASA Tool Wear\01) N_studies_with_1_assay_each\Data_mill\Case_02\Settings\time\Case_02_time_run_12.csv</v>
      </c>
      <c r="AG3" s="71" t="str">
        <f t="shared" si="0"/>
        <v>D:\DPL\ISA3\Example Implementations\NASA Tool Wear\01) N_studies_with_1_assay_each\Data_mill\Case_02\Settings\time\Case_02_time_run_13.csv</v>
      </c>
      <c r="AH3" s="71" t="str">
        <f t="shared" si="0"/>
        <v>D:\DPL\ISA3\Example Implementations\NASA Tool Wear\01) N_studies_with_1_assay_each\Data_mill\Case_02\Settings\time\Case_02_time_run_14.csv</v>
      </c>
      <c r="AI3" s="71" t="str">
        <f t="shared" si="0"/>
        <v>D:\DPL\ISA3\Example Implementations\NASA Tool Wear\01) N_studies_with_1_assay_each\Data_mill\Case_03\Settings\time\Case_03_time_run_01.csv</v>
      </c>
      <c r="AJ3" s="71" t="str">
        <f t="shared" ref="AJ3:BO3" si="1">"D:\DPL\ISA3\Example Implementations\NASA Tool Wear\01) N_studies_with_1_assay_each\Data_mill\Case_"&amp;_xlfn.TEXTAFTER(AJ$1,"s")&amp;"\Settings\time\Case_"&amp;_xlfn.TEXTAFTER(AJ$1,"s")&amp;"_time_run_"&amp;_xlfn.TEXTAFTER(AJ$2,"Run ")&amp;".csv"</f>
        <v>D:\DPL\ISA3\Example Implementations\NASA Tool Wear\01) N_studies_with_1_assay_each\Data_mill\Case_03\Settings\time\Case_03_time_run_02.csv</v>
      </c>
      <c r="AK3" s="71" t="str">
        <f t="shared" si="1"/>
        <v>D:\DPL\ISA3\Example Implementations\NASA Tool Wear\01) N_studies_with_1_assay_each\Data_mill\Case_03\Settings\time\Case_03_time_run_03.csv</v>
      </c>
      <c r="AL3" s="71" t="str">
        <f t="shared" si="1"/>
        <v>D:\DPL\ISA3\Example Implementations\NASA Tool Wear\01) N_studies_with_1_assay_each\Data_mill\Case_03\Settings\time\Case_03_time_run_04.csv</v>
      </c>
      <c r="AM3" s="71" t="str">
        <f t="shared" si="1"/>
        <v>D:\DPL\ISA3\Example Implementations\NASA Tool Wear\01) N_studies_with_1_assay_each\Data_mill\Case_03\Settings\time\Case_03_time_run_05.csv</v>
      </c>
      <c r="AN3" s="71" t="str">
        <f t="shared" si="1"/>
        <v>D:\DPL\ISA3\Example Implementations\NASA Tool Wear\01) N_studies_with_1_assay_each\Data_mill\Case_03\Settings\time\Case_03_time_run_06.csv</v>
      </c>
      <c r="AO3" s="71" t="str">
        <f t="shared" si="1"/>
        <v>D:\DPL\ISA3\Example Implementations\NASA Tool Wear\01) N_studies_with_1_assay_each\Data_mill\Case_03\Settings\time\Case_03_time_run_07.csv</v>
      </c>
      <c r="AP3" s="71" t="str">
        <f t="shared" si="1"/>
        <v>D:\DPL\ISA3\Example Implementations\NASA Tool Wear\01) N_studies_with_1_assay_each\Data_mill\Case_03\Settings\time\Case_03_time_run_08.csv</v>
      </c>
      <c r="AQ3" s="71" t="str">
        <f t="shared" si="1"/>
        <v>D:\DPL\ISA3\Example Implementations\NASA Tool Wear\01) N_studies_with_1_assay_each\Data_mill\Case_03\Settings\time\Case_03_time_run_09.csv</v>
      </c>
      <c r="AR3" s="71" t="str">
        <f t="shared" si="1"/>
        <v>D:\DPL\ISA3\Example Implementations\NASA Tool Wear\01) N_studies_with_1_assay_each\Data_mill\Case_03\Settings\time\Case_03_time_run_10.csv</v>
      </c>
      <c r="AS3" s="71" t="str">
        <f t="shared" si="1"/>
        <v>D:\DPL\ISA3\Example Implementations\NASA Tool Wear\01) N_studies_with_1_assay_each\Data_mill\Case_03\Settings\time\Case_03_time_run_11.csv</v>
      </c>
      <c r="AT3" s="71" t="str">
        <f t="shared" si="1"/>
        <v>D:\DPL\ISA3\Example Implementations\NASA Tool Wear\01) N_studies_with_1_assay_each\Data_mill\Case_03\Settings\time\Case_03_time_run_12.csv</v>
      </c>
      <c r="AU3" s="71" t="str">
        <f t="shared" si="1"/>
        <v>D:\DPL\ISA3\Example Implementations\NASA Tool Wear\01) N_studies_with_1_assay_each\Data_mill\Case_03\Settings\time\Case_03_time_run_13.csv</v>
      </c>
      <c r="AV3" s="71" t="str">
        <f t="shared" si="1"/>
        <v>D:\DPL\ISA3\Example Implementations\NASA Tool Wear\01) N_studies_with_1_assay_each\Data_mill\Case_03\Settings\time\Case_03_time_run_14.csv</v>
      </c>
      <c r="AW3" s="71" t="str">
        <f t="shared" si="1"/>
        <v>D:\DPL\ISA3\Example Implementations\NASA Tool Wear\01) N_studies_with_1_assay_each\Data_mill\Case_04\Settings\time\Case_04_time_run_01.csv</v>
      </c>
      <c r="AX3" s="71" t="str">
        <f t="shared" si="1"/>
        <v>D:\DPL\ISA3\Example Implementations\NASA Tool Wear\01) N_studies_with_1_assay_each\Data_mill\Case_04\Settings\time\Case_04_time_run_02.csv</v>
      </c>
      <c r="AY3" s="71" t="str">
        <f t="shared" si="1"/>
        <v>D:\DPL\ISA3\Example Implementations\NASA Tool Wear\01) N_studies_with_1_assay_each\Data_mill\Case_04\Settings\time\Case_04_time_run_03.csv</v>
      </c>
      <c r="AZ3" s="71" t="str">
        <f t="shared" si="1"/>
        <v>D:\DPL\ISA3\Example Implementations\NASA Tool Wear\01) N_studies_with_1_assay_each\Data_mill\Case_04\Settings\time\Case_04_time_run_04.csv</v>
      </c>
      <c r="BA3" s="71" t="str">
        <f t="shared" si="1"/>
        <v>D:\DPL\ISA3\Example Implementations\NASA Tool Wear\01) N_studies_with_1_assay_each\Data_mill\Case_04\Settings\time\Case_04_time_run_05.csv</v>
      </c>
      <c r="BB3" s="71" t="str">
        <f t="shared" si="1"/>
        <v>D:\DPL\ISA3\Example Implementations\NASA Tool Wear\01) N_studies_with_1_assay_each\Data_mill\Case_04\Settings\time\Case_04_time_run_06.csv</v>
      </c>
      <c r="BC3" s="71" t="str">
        <f t="shared" si="1"/>
        <v>D:\DPL\ISA3\Example Implementations\NASA Tool Wear\01) N_studies_with_1_assay_each\Data_mill\Case_04\Settings\time\Case_04_time_run_07.csv</v>
      </c>
      <c r="BD3" s="71" t="str">
        <f t="shared" si="1"/>
        <v>D:\DPL\ISA3\Example Implementations\NASA Tool Wear\01) N_studies_with_1_assay_each\Data_mill\Case_05\Settings\time\Case_05_time_run_01.csv</v>
      </c>
      <c r="BE3" s="71" t="str">
        <f t="shared" si="1"/>
        <v>D:\DPL\ISA3\Example Implementations\NASA Tool Wear\01) N_studies_with_1_assay_each\Data_mill\Case_05\Settings\time\Case_05_time_run_02.csv</v>
      </c>
      <c r="BF3" s="71" t="str">
        <f t="shared" si="1"/>
        <v>D:\DPL\ISA3\Example Implementations\NASA Tool Wear\01) N_studies_with_1_assay_each\Data_mill\Case_05\Settings\time\Case_05_time_run_03.csv</v>
      </c>
      <c r="BG3" s="71" t="str">
        <f t="shared" si="1"/>
        <v>D:\DPL\ISA3\Example Implementations\NASA Tool Wear\01) N_studies_with_1_assay_each\Data_mill\Case_05\Settings\time\Case_05_time_run_04.csv</v>
      </c>
      <c r="BH3" s="71" t="str">
        <f t="shared" si="1"/>
        <v>D:\DPL\ISA3\Example Implementations\NASA Tool Wear\01) N_studies_with_1_assay_each\Data_mill\Case_05\Settings\time\Case_05_time_run_05.csv</v>
      </c>
      <c r="BI3" s="71" t="str">
        <f t="shared" si="1"/>
        <v>D:\DPL\ISA3\Example Implementations\NASA Tool Wear\01) N_studies_with_1_assay_each\Data_mill\Case_05\Settings\time\Case_05_time_run_06.csv</v>
      </c>
      <c r="BJ3" s="71" t="str">
        <f t="shared" si="1"/>
        <v>D:\DPL\ISA3\Example Implementations\NASA Tool Wear\01) N_studies_with_1_assay_each\Data_mill\Case_06\Settings\time\Case_06_time_run_01.csv</v>
      </c>
      <c r="BK3" s="71" t="str">
        <f t="shared" si="1"/>
        <v>D:\DPL\ISA3\Example Implementations\NASA Tool Wear\01) N_studies_with_1_assay_each\Data_mill\Case_07\Settings\time\Case_07_time_run_01.csv</v>
      </c>
      <c r="BL3" s="71" t="str">
        <f t="shared" si="1"/>
        <v>D:\DPL\ISA3\Example Implementations\NASA Tool Wear\01) N_studies_with_1_assay_each\Data_mill\Case_07\Settings\time\Case_07_time_run_02.csv</v>
      </c>
      <c r="BM3" s="71" t="str">
        <f t="shared" si="1"/>
        <v>D:\DPL\ISA3\Example Implementations\NASA Tool Wear\01) N_studies_with_1_assay_each\Data_mill\Case_07\Settings\time\Case_07_time_run_03.csv</v>
      </c>
      <c r="BN3" s="71" t="str">
        <f t="shared" si="1"/>
        <v>D:\DPL\ISA3\Example Implementations\NASA Tool Wear\01) N_studies_with_1_assay_each\Data_mill\Case_07\Settings\time\Case_07_time_run_04.csv</v>
      </c>
      <c r="BO3" s="71" t="str">
        <f t="shared" si="1"/>
        <v>D:\DPL\ISA3\Example Implementations\NASA Tool Wear\01) N_studies_with_1_assay_each\Data_mill\Case_07\Settings\time\Case_07_time_run_05.csv</v>
      </c>
      <c r="BP3" s="71" t="str">
        <f t="shared" ref="BP3:CU3" si="2">"D:\DPL\ISA3\Example Implementations\NASA Tool Wear\01) N_studies_with_1_assay_each\Data_mill\Case_"&amp;_xlfn.TEXTAFTER(BP$1,"s")&amp;"\Settings\time\Case_"&amp;_xlfn.TEXTAFTER(BP$1,"s")&amp;"_time_run_"&amp;_xlfn.TEXTAFTER(BP$2,"Run ")&amp;".csv"</f>
        <v>D:\DPL\ISA3\Example Implementations\NASA Tool Wear\01) N_studies_with_1_assay_each\Data_mill\Case_07\Settings\time\Case_07_time_run_06.csv</v>
      </c>
      <c r="BQ3" s="71" t="str">
        <f t="shared" si="2"/>
        <v>D:\DPL\ISA3\Example Implementations\NASA Tool Wear\01) N_studies_with_1_assay_each\Data_mill\Case_07\Settings\time\Case_07_time_run_07.csv</v>
      </c>
      <c r="BR3" s="71" t="str">
        <f t="shared" si="2"/>
        <v>D:\DPL\ISA3\Example Implementations\NASA Tool Wear\01) N_studies_with_1_assay_each\Data_mill\Case_07\Settings\time\Case_07_time_run_08.csv</v>
      </c>
      <c r="BS3" s="71" t="str">
        <f t="shared" si="2"/>
        <v>D:\DPL\ISA3\Example Implementations\NASA Tool Wear\01) N_studies_with_1_assay_each\Data_mill\Case_08\Settings\time\Case_08_time_run_01.csv</v>
      </c>
      <c r="BT3" s="71" t="str">
        <f t="shared" si="2"/>
        <v>D:\DPL\ISA3\Example Implementations\NASA Tool Wear\01) N_studies_with_1_assay_each\Data_mill\Case_08\Settings\time\Case_08_time_run_02.csv</v>
      </c>
      <c r="BU3" s="71" t="str">
        <f t="shared" si="2"/>
        <v>D:\DPL\ISA3\Example Implementations\NASA Tool Wear\01) N_studies_with_1_assay_each\Data_mill\Case_08\Settings\time\Case_08_time_run_03.csv</v>
      </c>
      <c r="BV3" s="71" t="str">
        <f t="shared" si="2"/>
        <v>D:\DPL\ISA3\Example Implementations\NASA Tool Wear\01) N_studies_with_1_assay_each\Data_mill\Case_08\Settings\time\Case_08_time_run_04.csv</v>
      </c>
      <c r="BW3" s="71" t="str">
        <f t="shared" si="2"/>
        <v>D:\DPL\ISA3\Example Implementations\NASA Tool Wear\01) N_studies_with_1_assay_each\Data_mill\Case_08\Settings\time\Case_08_time_run_05.csv</v>
      </c>
      <c r="BX3" s="71" t="str">
        <f t="shared" si="2"/>
        <v>D:\DPL\ISA3\Example Implementations\NASA Tool Wear\01) N_studies_with_1_assay_each\Data_mill\Case_08\Settings\time\Case_08_time_run_06.csv</v>
      </c>
      <c r="BY3" s="71" t="str">
        <f t="shared" si="2"/>
        <v>D:\DPL\ISA3\Example Implementations\NASA Tool Wear\01) N_studies_with_1_assay_each\Data_mill\Case_09\Settings\time\Case_09_time_run_01.csv</v>
      </c>
      <c r="BZ3" s="71" t="str">
        <f t="shared" si="2"/>
        <v>D:\DPL\ISA3\Example Implementations\NASA Tool Wear\01) N_studies_with_1_assay_each\Data_mill\Case_09\Settings\time\Case_09_time_run_02.csv</v>
      </c>
      <c r="CA3" s="71" t="str">
        <f t="shared" si="2"/>
        <v>D:\DPL\ISA3\Example Implementations\NASA Tool Wear\01) N_studies_with_1_assay_each\Data_mill\Case_09\Settings\time\Case_09_time_run_03.csv</v>
      </c>
      <c r="CB3" s="71" t="str">
        <f t="shared" si="2"/>
        <v>D:\DPL\ISA3\Example Implementations\NASA Tool Wear\01) N_studies_with_1_assay_each\Data_mill\Case_09\Settings\time\Case_09_time_run_04.csv</v>
      </c>
      <c r="CC3" s="71" t="str">
        <f t="shared" si="2"/>
        <v>D:\DPL\ISA3\Example Implementations\NASA Tool Wear\01) N_studies_with_1_assay_each\Data_mill\Case_09\Settings\time\Case_09_time_run_05.csv</v>
      </c>
      <c r="CD3" s="71" t="str">
        <f t="shared" si="2"/>
        <v>D:\DPL\ISA3\Example Implementations\NASA Tool Wear\01) N_studies_with_1_assay_each\Data_mill\Case_09\Settings\time\Case_09_time_run_06.csv</v>
      </c>
      <c r="CE3" s="71" t="str">
        <f t="shared" si="2"/>
        <v>D:\DPL\ISA3\Example Implementations\NASA Tool Wear\01) N_studies_with_1_assay_each\Data_mill\Case_09\Settings\time\Case_09_time_run_07.csv</v>
      </c>
      <c r="CF3" s="71" t="str">
        <f t="shared" si="2"/>
        <v>D:\DPL\ISA3\Example Implementations\NASA Tool Wear\01) N_studies_with_1_assay_each\Data_mill\Case_09\Settings\time\Case_09_time_run_08.csv</v>
      </c>
      <c r="CG3" s="71" t="str">
        <f t="shared" si="2"/>
        <v>D:\DPL\ISA3\Example Implementations\NASA Tool Wear\01) N_studies_with_1_assay_each\Data_mill\Case_09\Settings\time\Case_09_time_run_09.csv</v>
      </c>
      <c r="CH3" s="71" t="str">
        <f t="shared" si="2"/>
        <v>D:\DPL\ISA3\Example Implementations\NASA Tool Wear\01) N_studies_with_1_assay_each\Data_mill\Case_10\Settings\time\Case_10_time_run_01.csv</v>
      </c>
      <c r="CI3" s="71" t="str">
        <f t="shared" si="2"/>
        <v>D:\DPL\ISA3\Example Implementations\NASA Tool Wear\01) N_studies_with_1_assay_each\Data_mill\Case_10\Settings\time\Case_10_time_run_02.csv</v>
      </c>
      <c r="CJ3" s="71" t="str">
        <f t="shared" si="2"/>
        <v>D:\DPL\ISA3\Example Implementations\NASA Tool Wear\01) N_studies_with_1_assay_each\Data_mill\Case_10\Settings\time\Case_10_time_run_03.csv</v>
      </c>
      <c r="CK3" s="71" t="str">
        <f t="shared" si="2"/>
        <v>D:\DPL\ISA3\Example Implementations\NASA Tool Wear\01) N_studies_with_1_assay_each\Data_mill\Case_10\Settings\time\Case_10_time_run_04.csv</v>
      </c>
      <c r="CL3" s="71" t="str">
        <f t="shared" si="2"/>
        <v>D:\DPL\ISA3\Example Implementations\NASA Tool Wear\01) N_studies_with_1_assay_each\Data_mill\Case_10\Settings\time\Case_10_time_run_05.csv</v>
      </c>
      <c r="CM3" s="71" t="str">
        <f t="shared" si="2"/>
        <v>D:\DPL\ISA3\Example Implementations\NASA Tool Wear\01) N_studies_with_1_assay_each\Data_mill\Case_10\Settings\time\Case_10_time_run_06.csv</v>
      </c>
      <c r="CN3" s="71" t="str">
        <f t="shared" si="2"/>
        <v>D:\DPL\ISA3\Example Implementations\NASA Tool Wear\01) N_studies_with_1_assay_each\Data_mill\Case_10\Settings\time\Case_10_time_run_07.csv</v>
      </c>
      <c r="CO3" s="71" t="str">
        <f t="shared" si="2"/>
        <v>D:\DPL\ISA3\Example Implementations\NASA Tool Wear\01) N_studies_with_1_assay_each\Data_mill\Case_10\Settings\time\Case_10_time_run_08.csv</v>
      </c>
      <c r="CP3" s="71" t="str">
        <f t="shared" si="2"/>
        <v>D:\DPL\ISA3\Example Implementations\NASA Tool Wear\01) N_studies_with_1_assay_each\Data_mill\Case_10\Settings\time\Case_10_time_run_09.csv</v>
      </c>
      <c r="CQ3" s="71" t="str">
        <f t="shared" si="2"/>
        <v>D:\DPL\ISA3\Example Implementations\NASA Tool Wear\01) N_studies_with_1_assay_each\Data_mill\Case_10\Settings\time\Case_10_time_run_10.csv</v>
      </c>
      <c r="CR3" s="71" t="str">
        <f t="shared" si="2"/>
        <v>D:\DPL\ISA3\Example Implementations\NASA Tool Wear\01) N_studies_with_1_assay_each\Data_mill\Case_11\Settings\time\Case_11_time_run_01.csv</v>
      </c>
      <c r="CS3" s="71" t="str">
        <f t="shared" si="2"/>
        <v>D:\DPL\ISA3\Example Implementations\NASA Tool Wear\01) N_studies_with_1_assay_each\Data_mill\Case_11\Settings\time\Case_11_time_run_02.csv</v>
      </c>
      <c r="CT3" s="71" t="str">
        <f t="shared" si="2"/>
        <v>D:\DPL\ISA3\Example Implementations\NASA Tool Wear\01) N_studies_with_1_assay_each\Data_mill\Case_11\Settings\time\Case_11_time_run_03.csv</v>
      </c>
      <c r="CU3" s="71" t="str">
        <f t="shared" si="2"/>
        <v>D:\DPL\ISA3\Example Implementations\NASA Tool Wear\01) N_studies_with_1_assay_each\Data_mill\Case_11\Settings\time\Case_11_time_run_04.csv</v>
      </c>
      <c r="CV3" s="71" t="str">
        <f t="shared" ref="CV3:EC3" si="3">"D:\DPL\ISA3\Example Implementations\NASA Tool Wear\01) N_studies_with_1_assay_each\Data_mill\Case_"&amp;_xlfn.TEXTAFTER(CV$1,"s")&amp;"\Settings\time\Case_"&amp;_xlfn.TEXTAFTER(CV$1,"s")&amp;"_time_run_"&amp;_xlfn.TEXTAFTER(CV$2,"Run ")&amp;".csv"</f>
        <v>D:\DPL\ISA3\Example Implementations\NASA Tool Wear\01) N_studies_with_1_assay_each\Data_mill\Case_11\Settings\time\Case_11_time_run_05.csv</v>
      </c>
      <c r="CW3" s="71" t="str">
        <f t="shared" si="3"/>
        <v>D:\DPL\ISA3\Example Implementations\NASA Tool Wear\01) N_studies_with_1_assay_each\Data_mill\Case_11\Settings\time\Case_11_time_run_06.csv</v>
      </c>
      <c r="CX3" s="71" t="str">
        <f t="shared" si="3"/>
        <v>D:\DPL\ISA3\Example Implementations\NASA Tool Wear\01) N_studies_with_1_assay_each\Data_mill\Case_11\Settings\time\Case_11_time_run_07.csv</v>
      </c>
      <c r="CY3" s="71" t="str">
        <f t="shared" si="3"/>
        <v>D:\DPL\ISA3\Example Implementations\NASA Tool Wear\01) N_studies_with_1_assay_each\Data_mill\Case_11\Settings\time\Case_11_time_run_08.csv</v>
      </c>
      <c r="CZ3" s="71" t="str">
        <f t="shared" si="3"/>
        <v>D:\DPL\ISA3\Example Implementations\NASA Tool Wear\01) N_studies_with_1_assay_each\Data_mill\Case_11\Settings\time\Case_11_time_run_09.csv</v>
      </c>
      <c r="DA3" s="71" t="str">
        <f t="shared" si="3"/>
        <v>D:\DPL\ISA3\Example Implementations\NASA Tool Wear\01) N_studies_with_1_assay_each\Data_mill\Case_11\Settings\time\Case_11_time_run_10.csv</v>
      </c>
      <c r="DB3" s="71" t="str">
        <f t="shared" si="3"/>
        <v>D:\DPL\ISA3\Example Implementations\NASA Tool Wear\01) N_studies_with_1_assay_each\Data_mill\Case_11\Settings\time\Case_11_time_run_11.csv</v>
      </c>
      <c r="DC3" s="71" t="str">
        <f t="shared" si="3"/>
        <v>D:\DPL\ISA3\Example Implementations\NASA Tool Wear\01) N_studies_with_1_assay_each\Data_mill\Case_11\Settings\time\Case_11_time_run_12.csv</v>
      </c>
      <c r="DD3" s="71" t="str">
        <f t="shared" si="3"/>
        <v>D:\DPL\ISA3\Example Implementations\NASA Tool Wear\01) N_studies_with_1_assay_each\Data_mill\Case_11\Settings\time\Case_11_time_run_13.csv</v>
      </c>
      <c r="DE3" s="71" t="str">
        <f t="shared" si="3"/>
        <v>D:\DPL\ISA3\Example Implementations\NASA Tool Wear\01) N_studies_with_1_assay_each\Data_mill\Case_11\Settings\time\Case_11_time_run_14.csv</v>
      </c>
      <c r="DF3" s="71" t="str">
        <f t="shared" si="3"/>
        <v>D:\DPL\ISA3\Example Implementations\NASA Tool Wear\01) N_studies_with_1_assay_each\Data_mill\Case_11\Settings\time\Case_11_time_run_15.csv</v>
      </c>
      <c r="DG3" s="71" t="str">
        <f t="shared" si="3"/>
        <v>D:\DPL\ISA3\Example Implementations\NASA Tool Wear\01) N_studies_with_1_assay_each\Data_mill\Case_11\Settings\time\Case_11_time_run_16.csv</v>
      </c>
      <c r="DH3" s="71" t="str">
        <f t="shared" si="3"/>
        <v>D:\DPL\ISA3\Example Implementations\NASA Tool Wear\01) N_studies_with_1_assay_each\Data_mill\Case_11\Settings\time\Case_11_time_run_17.csv</v>
      </c>
      <c r="DI3" s="71" t="str">
        <f t="shared" si="3"/>
        <v>D:\DPL\ISA3\Example Implementations\NASA Tool Wear\01) N_studies_with_1_assay_each\Data_mill\Case_11\Settings\time\Case_11_time_run_18.csv</v>
      </c>
      <c r="DJ3" s="71" t="str">
        <f t="shared" si="3"/>
        <v>D:\DPL\ISA3\Example Implementations\NASA Tool Wear\01) N_studies_with_1_assay_each\Data_mill\Case_11\Settings\time\Case_11_time_run_19.csv</v>
      </c>
      <c r="DK3" s="71" t="str">
        <f t="shared" si="3"/>
        <v>D:\DPL\ISA3\Example Implementations\NASA Tool Wear\01) N_studies_with_1_assay_each\Data_mill\Case_11\Settings\time\Case_11_time_run_20.csv</v>
      </c>
      <c r="DL3" s="71" t="str">
        <f t="shared" si="3"/>
        <v>D:\DPL\ISA3\Example Implementations\NASA Tool Wear\01) N_studies_with_1_assay_each\Data_mill\Case_11\Settings\time\Case_11_time_run_21.csv</v>
      </c>
      <c r="DM3" s="71" t="str">
        <f t="shared" si="3"/>
        <v>D:\DPL\ISA3\Example Implementations\NASA Tool Wear\01) N_studies_with_1_assay_each\Data_mill\Case_11\Settings\time\Case_11_time_run_22.csv</v>
      </c>
      <c r="DN3" s="71" t="str">
        <f t="shared" si="3"/>
        <v>D:\DPL\ISA3\Example Implementations\NASA Tool Wear\01) N_studies_with_1_assay_each\Data_mill\Case_11\Settings\time\Case_11_time_run_23.csv</v>
      </c>
      <c r="DO3" s="71" t="str">
        <f t="shared" si="3"/>
        <v>D:\DPL\ISA3\Example Implementations\NASA Tool Wear\01) N_studies_with_1_assay_each\Data_mill\Case_12\Settings\time\Case_12_time_run_01.csv</v>
      </c>
      <c r="DP3" s="71" t="str">
        <f t="shared" si="3"/>
        <v>D:\DPL\ISA3\Example Implementations\NASA Tool Wear\01) N_studies_with_1_assay_each\Data_mill\Case_12\Settings\time\Case_12_time_run_02.csv</v>
      </c>
      <c r="DQ3" s="71" t="str">
        <f t="shared" si="3"/>
        <v>D:\DPL\ISA3\Example Implementations\NASA Tool Wear\01) N_studies_with_1_assay_each\Data_mill\Case_12\Settings\time\Case_12_time_run_03.csv</v>
      </c>
      <c r="DR3" s="71" t="str">
        <f t="shared" si="3"/>
        <v>D:\DPL\ISA3\Example Implementations\NASA Tool Wear\01) N_studies_with_1_assay_each\Data_mill\Case_12\Settings\time\Case_12_time_run_04.csv</v>
      </c>
      <c r="DS3" s="71" t="str">
        <f t="shared" si="3"/>
        <v>D:\DPL\ISA3\Example Implementations\NASA Tool Wear\01) N_studies_with_1_assay_each\Data_mill\Case_12\Settings\time\Case_12_time_run_05.csv</v>
      </c>
      <c r="DT3" s="71" t="str">
        <f t="shared" si="3"/>
        <v>D:\DPL\ISA3\Example Implementations\NASA Tool Wear\01) N_studies_with_1_assay_each\Data_mill\Case_12\Settings\time\Case_12_time_run_06.csv</v>
      </c>
      <c r="DU3" s="71" t="str">
        <f t="shared" si="3"/>
        <v>D:\DPL\ISA3\Example Implementations\NASA Tool Wear\01) N_studies_with_1_assay_each\Data_mill\Case_12\Settings\time\Case_12_time_run_07.csv</v>
      </c>
      <c r="DV3" s="71" t="str">
        <f t="shared" si="3"/>
        <v>D:\DPL\ISA3\Example Implementations\NASA Tool Wear\01) N_studies_with_1_assay_each\Data_mill\Case_12\Settings\time\Case_12_time_run_08.csv</v>
      </c>
      <c r="DW3" s="71" t="str">
        <f t="shared" si="3"/>
        <v>D:\DPL\ISA3\Example Implementations\NASA Tool Wear\01) N_studies_with_1_assay_each\Data_mill\Case_12\Settings\time\Case_12_time_run_09.csv</v>
      </c>
      <c r="DX3" s="71" t="str">
        <f t="shared" si="3"/>
        <v>D:\DPL\ISA3\Example Implementations\NASA Tool Wear\01) N_studies_with_1_assay_each\Data_mill\Case_12\Settings\time\Case_12_time_run_10.csv</v>
      </c>
      <c r="DY3" s="71" t="str">
        <f t="shared" si="3"/>
        <v>D:\DPL\ISA3\Example Implementations\NASA Tool Wear\01) N_studies_with_1_assay_each\Data_mill\Case_12\Settings\time\Case_12_time_run_11.csv</v>
      </c>
      <c r="DZ3" s="71" t="str">
        <f t="shared" si="3"/>
        <v>D:\DPL\ISA3\Example Implementations\NASA Tool Wear\01) N_studies_with_1_assay_each\Data_mill\Case_12\Settings\time\Case_12_time_run_12.csv</v>
      </c>
      <c r="EA3" s="71" t="str">
        <f t="shared" si="3"/>
        <v>D:\DPL\ISA3\Example Implementations\NASA Tool Wear\01) N_studies_with_1_assay_each\Data_mill\Case_12\Settings\time\Case_12_time_run_13.csv</v>
      </c>
      <c r="EB3" s="71" t="str">
        <f t="shared" si="3"/>
        <v>D:\DPL\ISA3\Example Implementations\NASA Tool Wear\01) N_studies_with_1_assay_each\Data_mill\Case_12\Settings\time\Case_12_time_run_14.csv</v>
      </c>
      <c r="EC3" s="71" t="str">
        <f t="shared" si="3"/>
        <v>D:\DPL\ISA3\Example Implementations\NASA Tool Wear\01) N_studies_with_1_assay_each\Data_mill\Case_12\Settings\time\Case_12_time_run_15.csv</v>
      </c>
      <c r="ED3" s="71" t="str">
        <f t="shared" ref="ED3:ER3" si="4">"D:\DPL\ISA3\Example Implementations\NASA Tool Wear\01) N_studies_with_1_assay_each\Data_mill\Case_"&amp;_xlfn.TEXTAFTER(ED$1,"s")&amp;"\Settings\time\Case_"&amp;_xlfn.TEXTAFTER(ED$1,"s")&amp;"_time_run_"&amp;_xlfn.TEXTAFTER(ED$2,"Run ")&amp;".csv"</f>
        <v>D:\DPL\ISA3\Example Implementations\NASA Tool Wear\01) N_studies_with_1_assay_each\Data_mill\Case_13\Settings\time\Case_13_time_run_01.csv</v>
      </c>
      <c r="EE3" s="71" t="str">
        <f t="shared" si="4"/>
        <v>D:\DPL\ISA3\Example Implementations\NASA Tool Wear\01) N_studies_with_1_assay_each\Data_mill\Case_13\Settings\time\Case_13_time_run_02.csv</v>
      </c>
      <c r="EF3" s="71" t="str">
        <f t="shared" si="4"/>
        <v>D:\DPL\ISA3\Example Implementations\NASA Tool Wear\01) N_studies_with_1_assay_each\Data_mill\Case_13\Settings\time\Case_13_time_run_03.csv</v>
      </c>
      <c r="EG3" s="71" t="str">
        <f t="shared" si="4"/>
        <v>D:\DPL\ISA3\Example Implementations\NASA Tool Wear\01) N_studies_with_1_assay_each\Data_mill\Case_13\Settings\time\Case_13_time_run_04.csv</v>
      </c>
      <c r="EH3" s="71" t="str">
        <f t="shared" si="4"/>
        <v>D:\DPL\ISA3\Example Implementations\NASA Tool Wear\01) N_studies_with_1_assay_each\Data_mill\Case_13\Settings\time\Case_13_time_run_05.csv</v>
      </c>
      <c r="EI3" s="71" t="str">
        <f t="shared" si="4"/>
        <v>D:\DPL\ISA3\Example Implementations\NASA Tool Wear\01) N_studies_with_1_assay_each\Data_mill\Case_13\Settings\time\Case_13_time_run_06.csv</v>
      </c>
      <c r="EJ3" s="71" t="str">
        <f t="shared" si="4"/>
        <v>D:\DPL\ISA3\Example Implementations\NASA Tool Wear\01) N_studies_with_1_assay_each\Data_mill\Case_13\Settings\time\Case_13_time_run_07.csv</v>
      </c>
      <c r="EK3" s="71" t="str">
        <f t="shared" si="4"/>
        <v>D:\DPL\ISA3\Example Implementations\NASA Tool Wear\01) N_studies_with_1_assay_each\Data_mill\Case_13\Settings\time\Case_13_time_run_08.csv</v>
      </c>
      <c r="EL3" s="71" t="str">
        <f t="shared" si="4"/>
        <v>D:\DPL\ISA3\Example Implementations\NASA Tool Wear\01) N_studies_with_1_assay_each\Data_mill\Case_13\Settings\time\Case_13_time_run_09.csv</v>
      </c>
      <c r="EM3" s="71" t="str">
        <f t="shared" si="4"/>
        <v>D:\DPL\ISA3\Example Implementations\NASA Tool Wear\01) N_studies_with_1_assay_each\Data_mill\Case_13\Settings\time\Case_13_time_run_10.csv</v>
      </c>
      <c r="EN3" s="71" t="str">
        <f t="shared" si="4"/>
        <v>D:\DPL\ISA3\Example Implementations\NASA Tool Wear\01) N_studies_with_1_assay_each\Data_mill\Case_13\Settings\time\Case_13_time_run_11.csv</v>
      </c>
      <c r="EO3" s="71" t="str">
        <f t="shared" si="4"/>
        <v>D:\DPL\ISA3\Example Implementations\NASA Tool Wear\01) N_studies_with_1_assay_each\Data_mill\Case_13\Settings\time\Case_13_time_run_12.csv</v>
      </c>
      <c r="EP3" s="71" t="str">
        <f t="shared" si="4"/>
        <v>D:\DPL\ISA3\Example Implementations\NASA Tool Wear\01) N_studies_with_1_assay_each\Data_mill\Case_13\Settings\time\Case_13_time_run_13.csv</v>
      </c>
      <c r="EQ3" s="71" t="str">
        <f t="shared" si="4"/>
        <v>D:\DPL\ISA3\Example Implementations\NASA Tool Wear\01) N_studies_with_1_assay_each\Data_mill\Case_13\Settings\time\Case_13_time_run_14.csv</v>
      </c>
      <c r="ER3" s="71" t="str">
        <f t="shared" si="4"/>
        <v>D:\DPL\ISA3\Example Implementations\NASA Tool Wear\01) N_studies_with_1_assay_each\Data_mill\Case_13\Settings\time\Case_13_time_run_15.csv</v>
      </c>
      <c r="ES3" s="71" t="str">
        <f t="shared" ref="ES3:FM3" si="5">"D:\DPL\ISA3\Example Implementations\NASA Tool Wear\01) N_studies_with_1_assay_each\Data_mill\Case_"&amp;_xlfn.TEXTAFTER(ES$1,"s")&amp;"\Settings\time\Case_"&amp;_xlfn.TEXTAFTER(ES$1,"s")&amp;"_time_run_"&amp;_xlfn.TEXTAFTER(ES$2,"Run ")&amp;".csv"</f>
        <v>D:\DPL\ISA3\Example Implementations\NASA Tool Wear\01) N_studies_with_1_assay_each\Data_mill\Case_14\Settings\time\Case_14_time_run_01.csv</v>
      </c>
      <c r="ET3" s="71" t="str">
        <f t="shared" si="5"/>
        <v>D:\DPL\ISA3\Example Implementations\NASA Tool Wear\01) N_studies_with_1_assay_each\Data_mill\Case_14\Settings\time\Case_14_time_run_02.csv</v>
      </c>
      <c r="EU3" s="71" t="str">
        <f t="shared" si="5"/>
        <v>D:\DPL\ISA3\Example Implementations\NASA Tool Wear\01) N_studies_with_1_assay_each\Data_mill\Case_14\Settings\time\Case_14_time_run_03.csv</v>
      </c>
      <c r="EV3" s="71" t="str">
        <f t="shared" si="5"/>
        <v>D:\DPL\ISA3\Example Implementations\NASA Tool Wear\01) N_studies_with_1_assay_each\Data_mill\Case_14\Settings\time\Case_14_time_run_04.csv</v>
      </c>
      <c r="EW3" s="71" t="str">
        <f t="shared" si="5"/>
        <v>D:\DPL\ISA3\Example Implementations\NASA Tool Wear\01) N_studies_with_1_assay_each\Data_mill\Case_14\Settings\time\Case_14_time_run_05.csv</v>
      </c>
      <c r="EX3" s="71" t="str">
        <f t="shared" si="5"/>
        <v>D:\DPL\ISA3\Example Implementations\NASA Tool Wear\01) N_studies_with_1_assay_each\Data_mill\Case_14\Settings\time\Case_14_time_run_06.csv</v>
      </c>
      <c r="EY3" s="71" t="str">
        <f t="shared" si="5"/>
        <v>D:\DPL\ISA3\Example Implementations\NASA Tool Wear\01) N_studies_with_1_assay_each\Data_mill\Case_14\Settings\time\Case_14_time_run_07.csv</v>
      </c>
      <c r="EZ3" s="71" t="str">
        <f t="shared" si="5"/>
        <v>D:\DPL\ISA3\Example Implementations\NASA Tool Wear\01) N_studies_with_1_assay_each\Data_mill\Case_14\Settings\time\Case_14_time_run_08.csv</v>
      </c>
      <c r="FA3" s="71" t="str">
        <f t="shared" si="5"/>
        <v>D:\DPL\ISA3\Example Implementations\NASA Tool Wear\01) N_studies_with_1_assay_each\Data_mill\Case_14\Settings\time\Case_14_time_run_09.csv</v>
      </c>
      <c r="FB3" s="71" t="str">
        <f t="shared" si="5"/>
        <v>D:\DPL\ISA3\Example Implementations\NASA Tool Wear\01) N_studies_with_1_assay_each\Data_mill\Case_15\Settings\time\Case_15_time_run_01.csv</v>
      </c>
      <c r="FC3" s="71" t="str">
        <f t="shared" si="5"/>
        <v>D:\DPL\ISA3\Example Implementations\NASA Tool Wear\01) N_studies_with_1_assay_each\Data_mill\Case_15\Settings\time\Case_15_time_run_02.csv</v>
      </c>
      <c r="FD3" s="71" t="str">
        <f t="shared" si="5"/>
        <v>D:\DPL\ISA3\Example Implementations\NASA Tool Wear\01) N_studies_with_1_assay_each\Data_mill\Case_15\Settings\time\Case_15_time_run_03.csv</v>
      </c>
      <c r="FE3" s="71" t="str">
        <f t="shared" si="5"/>
        <v>D:\DPL\ISA3\Example Implementations\NASA Tool Wear\01) N_studies_with_1_assay_each\Data_mill\Case_15\Settings\time\Case_15_time_run_04.csv</v>
      </c>
      <c r="FF3" s="71" t="str">
        <f t="shared" si="5"/>
        <v>D:\DPL\ISA3\Example Implementations\NASA Tool Wear\01) N_studies_with_1_assay_each\Data_mill\Case_15\Settings\time\Case_15_time_run_05.csv</v>
      </c>
      <c r="FG3" s="71" t="str">
        <f t="shared" si="5"/>
        <v>D:\DPL\ISA3\Example Implementations\NASA Tool Wear\01) N_studies_with_1_assay_each\Data_mill\Case_15\Settings\time\Case_15_time_run_06.csv</v>
      </c>
      <c r="FH3" s="71" t="str">
        <f t="shared" si="5"/>
        <v>D:\DPL\ISA3\Example Implementations\NASA Tool Wear\01) N_studies_with_1_assay_each\Data_mill\Case_16\Settings\time\Case_16_time_run_01.csv</v>
      </c>
      <c r="FI3" s="71" t="str">
        <f t="shared" si="5"/>
        <v>D:\DPL\ISA3\Example Implementations\NASA Tool Wear\01) N_studies_with_1_assay_each\Data_mill\Case_16\Settings\time\Case_16_time_run_02.csv</v>
      </c>
      <c r="FJ3" s="71" t="str">
        <f t="shared" si="5"/>
        <v>D:\DPL\ISA3\Example Implementations\NASA Tool Wear\01) N_studies_with_1_assay_each\Data_mill\Case_16\Settings\time\Case_16_time_run_03.csv</v>
      </c>
      <c r="FK3" s="71" t="str">
        <f t="shared" si="5"/>
        <v>D:\DPL\ISA3\Example Implementations\NASA Tool Wear\01) N_studies_with_1_assay_each\Data_mill\Case_16\Settings\time\Case_16_time_run_04.csv</v>
      </c>
      <c r="FL3" s="71" t="str">
        <f t="shared" si="5"/>
        <v>D:\DPL\ISA3\Example Implementations\NASA Tool Wear\01) N_studies_with_1_assay_each\Data_mill\Case_16\Settings\time\Case_16_time_run_05.csv</v>
      </c>
      <c r="FM3" s="71" t="str">
        <f t="shared" si="5"/>
        <v>D:\DPL\ISA3\Example Implementations\NASA Tool Wear\01) N_studies_with_1_assay_each\Data_mill\Case_16\Settings\time\Case_16_time_run_06.csv</v>
      </c>
      <c r="FN3" s="71"/>
    </row>
    <row r="4" spans="1:175" x14ac:dyDescent="0.3">
      <c r="A4" t="s">
        <v>123</v>
      </c>
      <c r="B4" t="s">
        <v>20</v>
      </c>
      <c r="C4" s="16" t="s">
        <v>130</v>
      </c>
      <c r="D4" t="str">
        <f t="shared" ref="D4:AI4" si="6">"D:\DPL\ISA3\Example Implementations\NASA Tool Wear\01) N_studies_with_1_assay_each\Data_mill\Case_"&amp;_xlfn.TEXTAFTER(D$1,"s")&amp;"\Settings\CS\Case_"&amp;_xlfn.TEXTAFTER(D$1,"s")&amp;"_time_run_"&amp;_xlfn.TEXTAFTER(D$2,"Run ")&amp;".csv"</f>
        <v>D:\DPL\ISA3\Example Implementations\NASA Tool Wear\01) N_studies_with_1_assay_each\Data_mill\Case_01\Settings\CS\Case_01_time_run_01.csv</v>
      </c>
      <c r="E4" s="71" t="str">
        <f t="shared" si="6"/>
        <v>D:\DPL\ISA3\Example Implementations\NASA Tool Wear\01) N_studies_with_1_assay_each\Data_mill\Case_01\Settings\CS\Case_01_time_run_02.csv</v>
      </c>
      <c r="F4" s="71" t="str">
        <f t="shared" si="6"/>
        <v>D:\DPL\ISA3\Example Implementations\NASA Tool Wear\01) N_studies_with_1_assay_each\Data_mill\Case_01\Settings\CS\Case_01_time_run_03.csv</v>
      </c>
      <c r="G4" s="71" t="str">
        <f t="shared" si="6"/>
        <v>D:\DPL\ISA3\Example Implementations\NASA Tool Wear\01) N_studies_with_1_assay_each\Data_mill\Case_01\Settings\CS\Case_01_time_run_04.csv</v>
      </c>
      <c r="H4" s="71" t="str">
        <f t="shared" si="6"/>
        <v>D:\DPL\ISA3\Example Implementations\NASA Tool Wear\01) N_studies_with_1_assay_each\Data_mill\Case_01\Settings\CS\Case_01_time_run_05.csv</v>
      </c>
      <c r="I4" s="71" t="str">
        <f t="shared" si="6"/>
        <v>D:\DPL\ISA3\Example Implementations\NASA Tool Wear\01) N_studies_with_1_assay_each\Data_mill\Case_01\Settings\CS\Case_01_time_run_06.csv</v>
      </c>
      <c r="J4" s="71" t="str">
        <f t="shared" si="6"/>
        <v>D:\DPL\ISA3\Example Implementations\NASA Tool Wear\01) N_studies_with_1_assay_each\Data_mill\Case_01\Settings\CS\Case_01_time_run_07.csv</v>
      </c>
      <c r="K4" s="71" t="str">
        <f t="shared" si="6"/>
        <v>D:\DPL\ISA3\Example Implementations\NASA Tool Wear\01) N_studies_with_1_assay_each\Data_mill\Case_01\Settings\CS\Case_01_time_run_08.csv</v>
      </c>
      <c r="L4" s="71" t="str">
        <f t="shared" si="6"/>
        <v>D:\DPL\ISA3\Example Implementations\NASA Tool Wear\01) N_studies_with_1_assay_each\Data_mill\Case_01\Settings\CS\Case_01_time_run_09.csv</v>
      </c>
      <c r="M4" s="71" t="str">
        <f t="shared" si="6"/>
        <v>D:\DPL\ISA3\Example Implementations\NASA Tool Wear\01) N_studies_with_1_assay_each\Data_mill\Case_01\Settings\CS\Case_01_time_run_10.csv</v>
      </c>
      <c r="N4" s="71" t="str">
        <f t="shared" si="6"/>
        <v>D:\DPL\ISA3\Example Implementations\NASA Tool Wear\01) N_studies_with_1_assay_each\Data_mill\Case_01\Settings\CS\Case_01_time_run_11.csv</v>
      </c>
      <c r="O4" s="71" t="str">
        <f t="shared" si="6"/>
        <v>D:\DPL\ISA3\Example Implementations\NASA Tool Wear\01) N_studies_with_1_assay_each\Data_mill\Case_01\Settings\CS\Case_01_time_run_12.csv</v>
      </c>
      <c r="P4" s="71" t="str">
        <f t="shared" si="6"/>
        <v>D:\DPL\ISA3\Example Implementations\NASA Tool Wear\01) N_studies_with_1_assay_each\Data_mill\Case_01\Settings\CS\Case_01_time_run_13.csv</v>
      </c>
      <c r="Q4" s="71" t="str">
        <f t="shared" si="6"/>
        <v>D:\DPL\ISA3\Example Implementations\NASA Tool Wear\01) N_studies_with_1_assay_each\Data_mill\Case_01\Settings\CS\Case_01_time_run_14.csv</v>
      </c>
      <c r="R4" s="71" t="str">
        <f t="shared" si="6"/>
        <v>D:\DPL\ISA3\Example Implementations\NASA Tool Wear\01) N_studies_with_1_assay_each\Data_mill\Case_01\Settings\CS\Case_01_time_run_15.csv</v>
      </c>
      <c r="S4" s="71" t="str">
        <f t="shared" si="6"/>
        <v>D:\DPL\ISA3\Example Implementations\NASA Tool Wear\01) N_studies_with_1_assay_each\Data_mill\Case_01\Settings\CS\Case_01_time_run_16.csv</v>
      </c>
      <c r="T4" s="71" t="str">
        <f t="shared" si="6"/>
        <v>D:\DPL\ISA3\Example Implementations\NASA Tool Wear\01) N_studies_with_1_assay_each\Data_mill\Case_01\Settings\CS\Case_01_time_run_17.csv</v>
      </c>
      <c r="U4" s="71" t="str">
        <f t="shared" si="6"/>
        <v>D:\DPL\ISA3\Example Implementations\NASA Tool Wear\01) N_studies_with_1_assay_each\Data_mill\Case_02\Settings\CS\Case_02_time_run_01.csv</v>
      </c>
      <c r="V4" s="71" t="str">
        <f t="shared" si="6"/>
        <v>D:\DPL\ISA3\Example Implementations\NASA Tool Wear\01) N_studies_with_1_assay_each\Data_mill\Case_02\Settings\CS\Case_02_time_run_02.csv</v>
      </c>
      <c r="W4" s="71" t="str">
        <f t="shared" si="6"/>
        <v>D:\DPL\ISA3\Example Implementations\NASA Tool Wear\01) N_studies_with_1_assay_each\Data_mill\Case_02\Settings\CS\Case_02_time_run_03.csv</v>
      </c>
      <c r="X4" s="71" t="str">
        <f t="shared" si="6"/>
        <v>D:\DPL\ISA3\Example Implementations\NASA Tool Wear\01) N_studies_with_1_assay_each\Data_mill\Case_02\Settings\CS\Case_02_time_run_04.csv</v>
      </c>
      <c r="Y4" s="71" t="str">
        <f t="shared" si="6"/>
        <v>D:\DPL\ISA3\Example Implementations\NASA Tool Wear\01) N_studies_with_1_assay_each\Data_mill\Case_02\Settings\CS\Case_02_time_run_05.csv</v>
      </c>
      <c r="Z4" s="71" t="str">
        <f t="shared" si="6"/>
        <v>D:\DPL\ISA3\Example Implementations\NASA Tool Wear\01) N_studies_with_1_assay_each\Data_mill\Case_02\Settings\CS\Case_02_time_run_06.csv</v>
      </c>
      <c r="AA4" s="71" t="str">
        <f t="shared" si="6"/>
        <v>D:\DPL\ISA3\Example Implementations\NASA Tool Wear\01) N_studies_with_1_assay_each\Data_mill\Case_02\Settings\CS\Case_02_time_run_07.csv</v>
      </c>
      <c r="AB4" s="71" t="str">
        <f t="shared" si="6"/>
        <v>D:\DPL\ISA3\Example Implementations\NASA Tool Wear\01) N_studies_with_1_assay_each\Data_mill\Case_02\Settings\CS\Case_02_time_run_08.csv</v>
      </c>
      <c r="AC4" s="71" t="str">
        <f t="shared" si="6"/>
        <v>D:\DPL\ISA3\Example Implementations\NASA Tool Wear\01) N_studies_with_1_assay_each\Data_mill\Case_02\Settings\CS\Case_02_time_run_09.csv</v>
      </c>
      <c r="AD4" s="71" t="str">
        <f t="shared" si="6"/>
        <v>D:\DPL\ISA3\Example Implementations\NASA Tool Wear\01) N_studies_with_1_assay_each\Data_mill\Case_02\Settings\CS\Case_02_time_run_10.csv</v>
      </c>
      <c r="AE4" s="71" t="str">
        <f t="shared" si="6"/>
        <v>D:\DPL\ISA3\Example Implementations\NASA Tool Wear\01) N_studies_with_1_assay_each\Data_mill\Case_02\Settings\CS\Case_02_time_run_11.csv</v>
      </c>
      <c r="AF4" s="71" t="str">
        <f t="shared" si="6"/>
        <v>D:\DPL\ISA3\Example Implementations\NASA Tool Wear\01) N_studies_with_1_assay_each\Data_mill\Case_02\Settings\CS\Case_02_time_run_12.csv</v>
      </c>
      <c r="AG4" s="71" t="str">
        <f t="shared" si="6"/>
        <v>D:\DPL\ISA3\Example Implementations\NASA Tool Wear\01) N_studies_with_1_assay_each\Data_mill\Case_02\Settings\CS\Case_02_time_run_13.csv</v>
      </c>
      <c r="AH4" s="71" t="str">
        <f t="shared" si="6"/>
        <v>D:\DPL\ISA3\Example Implementations\NASA Tool Wear\01) N_studies_with_1_assay_each\Data_mill\Case_02\Settings\CS\Case_02_time_run_14.csv</v>
      </c>
      <c r="AI4" s="71" t="str">
        <f t="shared" si="6"/>
        <v>D:\DPL\ISA3\Example Implementations\NASA Tool Wear\01) N_studies_with_1_assay_each\Data_mill\Case_03\Settings\CS\Case_03_time_run_01.csv</v>
      </c>
      <c r="AJ4" s="71" t="str">
        <f t="shared" ref="AJ4:BO4" si="7">"D:\DPL\ISA3\Example Implementations\NASA Tool Wear\01) N_studies_with_1_assay_each\Data_mill\Case_"&amp;_xlfn.TEXTAFTER(AJ$1,"s")&amp;"\Settings\CS\Case_"&amp;_xlfn.TEXTAFTER(AJ$1,"s")&amp;"_time_run_"&amp;_xlfn.TEXTAFTER(AJ$2,"Run ")&amp;".csv"</f>
        <v>D:\DPL\ISA3\Example Implementations\NASA Tool Wear\01) N_studies_with_1_assay_each\Data_mill\Case_03\Settings\CS\Case_03_time_run_02.csv</v>
      </c>
      <c r="AK4" s="71" t="str">
        <f t="shared" si="7"/>
        <v>D:\DPL\ISA3\Example Implementations\NASA Tool Wear\01) N_studies_with_1_assay_each\Data_mill\Case_03\Settings\CS\Case_03_time_run_03.csv</v>
      </c>
      <c r="AL4" s="71" t="str">
        <f t="shared" si="7"/>
        <v>D:\DPL\ISA3\Example Implementations\NASA Tool Wear\01) N_studies_with_1_assay_each\Data_mill\Case_03\Settings\CS\Case_03_time_run_04.csv</v>
      </c>
      <c r="AM4" s="71" t="str">
        <f t="shared" si="7"/>
        <v>D:\DPL\ISA3\Example Implementations\NASA Tool Wear\01) N_studies_with_1_assay_each\Data_mill\Case_03\Settings\CS\Case_03_time_run_05.csv</v>
      </c>
      <c r="AN4" s="71" t="str">
        <f t="shared" si="7"/>
        <v>D:\DPL\ISA3\Example Implementations\NASA Tool Wear\01) N_studies_with_1_assay_each\Data_mill\Case_03\Settings\CS\Case_03_time_run_06.csv</v>
      </c>
      <c r="AO4" s="71" t="str">
        <f t="shared" si="7"/>
        <v>D:\DPL\ISA3\Example Implementations\NASA Tool Wear\01) N_studies_with_1_assay_each\Data_mill\Case_03\Settings\CS\Case_03_time_run_07.csv</v>
      </c>
      <c r="AP4" s="71" t="str">
        <f t="shared" si="7"/>
        <v>D:\DPL\ISA3\Example Implementations\NASA Tool Wear\01) N_studies_with_1_assay_each\Data_mill\Case_03\Settings\CS\Case_03_time_run_08.csv</v>
      </c>
      <c r="AQ4" s="71" t="str">
        <f t="shared" si="7"/>
        <v>D:\DPL\ISA3\Example Implementations\NASA Tool Wear\01) N_studies_with_1_assay_each\Data_mill\Case_03\Settings\CS\Case_03_time_run_09.csv</v>
      </c>
      <c r="AR4" s="71" t="str">
        <f t="shared" si="7"/>
        <v>D:\DPL\ISA3\Example Implementations\NASA Tool Wear\01) N_studies_with_1_assay_each\Data_mill\Case_03\Settings\CS\Case_03_time_run_10.csv</v>
      </c>
      <c r="AS4" s="71" t="str">
        <f t="shared" si="7"/>
        <v>D:\DPL\ISA3\Example Implementations\NASA Tool Wear\01) N_studies_with_1_assay_each\Data_mill\Case_03\Settings\CS\Case_03_time_run_11.csv</v>
      </c>
      <c r="AT4" s="71" t="str">
        <f t="shared" si="7"/>
        <v>D:\DPL\ISA3\Example Implementations\NASA Tool Wear\01) N_studies_with_1_assay_each\Data_mill\Case_03\Settings\CS\Case_03_time_run_12.csv</v>
      </c>
      <c r="AU4" s="71" t="str">
        <f t="shared" si="7"/>
        <v>D:\DPL\ISA3\Example Implementations\NASA Tool Wear\01) N_studies_with_1_assay_each\Data_mill\Case_03\Settings\CS\Case_03_time_run_13.csv</v>
      </c>
      <c r="AV4" s="71" t="str">
        <f t="shared" si="7"/>
        <v>D:\DPL\ISA3\Example Implementations\NASA Tool Wear\01) N_studies_with_1_assay_each\Data_mill\Case_03\Settings\CS\Case_03_time_run_14.csv</v>
      </c>
      <c r="AW4" s="71" t="str">
        <f t="shared" si="7"/>
        <v>D:\DPL\ISA3\Example Implementations\NASA Tool Wear\01) N_studies_with_1_assay_each\Data_mill\Case_04\Settings\CS\Case_04_time_run_01.csv</v>
      </c>
      <c r="AX4" s="71" t="str">
        <f t="shared" si="7"/>
        <v>D:\DPL\ISA3\Example Implementations\NASA Tool Wear\01) N_studies_with_1_assay_each\Data_mill\Case_04\Settings\CS\Case_04_time_run_02.csv</v>
      </c>
      <c r="AY4" s="71" t="str">
        <f t="shared" si="7"/>
        <v>D:\DPL\ISA3\Example Implementations\NASA Tool Wear\01) N_studies_with_1_assay_each\Data_mill\Case_04\Settings\CS\Case_04_time_run_03.csv</v>
      </c>
      <c r="AZ4" s="71" t="str">
        <f t="shared" si="7"/>
        <v>D:\DPL\ISA3\Example Implementations\NASA Tool Wear\01) N_studies_with_1_assay_each\Data_mill\Case_04\Settings\CS\Case_04_time_run_04.csv</v>
      </c>
      <c r="BA4" s="71" t="str">
        <f t="shared" si="7"/>
        <v>D:\DPL\ISA3\Example Implementations\NASA Tool Wear\01) N_studies_with_1_assay_each\Data_mill\Case_04\Settings\CS\Case_04_time_run_05.csv</v>
      </c>
      <c r="BB4" s="71" t="str">
        <f t="shared" si="7"/>
        <v>D:\DPL\ISA3\Example Implementations\NASA Tool Wear\01) N_studies_with_1_assay_each\Data_mill\Case_04\Settings\CS\Case_04_time_run_06.csv</v>
      </c>
      <c r="BC4" s="71" t="str">
        <f t="shared" si="7"/>
        <v>D:\DPL\ISA3\Example Implementations\NASA Tool Wear\01) N_studies_with_1_assay_each\Data_mill\Case_04\Settings\CS\Case_04_time_run_07.csv</v>
      </c>
      <c r="BD4" s="71" t="str">
        <f t="shared" si="7"/>
        <v>D:\DPL\ISA3\Example Implementations\NASA Tool Wear\01) N_studies_with_1_assay_each\Data_mill\Case_05\Settings\CS\Case_05_time_run_01.csv</v>
      </c>
      <c r="BE4" s="71" t="str">
        <f t="shared" si="7"/>
        <v>D:\DPL\ISA3\Example Implementations\NASA Tool Wear\01) N_studies_with_1_assay_each\Data_mill\Case_05\Settings\CS\Case_05_time_run_02.csv</v>
      </c>
      <c r="BF4" s="71" t="str">
        <f t="shared" si="7"/>
        <v>D:\DPL\ISA3\Example Implementations\NASA Tool Wear\01) N_studies_with_1_assay_each\Data_mill\Case_05\Settings\CS\Case_05_time_run_03.csv</v>
      </c>
      <c r="BG4" s="71" t="str">
        <f t="shared" si="7"/>
        <v>D:\DPL\ISA3\Example Implementations\NASA Tool Wear\01) N_studies_with_1_assay_each\Data_mill\Case_05\Settings\CS\Case_05_time_run_04.csv</v>
      </c>
      <c r="BH4" s="71" t="str">
        <f t="shared" si="7"/>
        <v>D:\DPL\ISA3\Example Implementations\NASA Tool Wear\01) N_studies_with_1_assay_each\Data_mill\Case_05\Settings\CS\Case_05_time_run_05.csv</v>
      </c>
      <c r="BI4" s="71" t="str">
        <f t="shared" si="7"/>
        <v>D:\DPL\ISA3\Example Implementations\NASA Tool Wear\01) N_studies_with_1_assay_each\Data_mill\Case_05\Settings\CS\Case_05_time_run_06.csv</v>
      </c>
      <c r="BJ4" s="71" t="str">
        <f t="shared" si="7"/>
        <v>D:\DPL\ISA3\Example Implementations\NASA Tool Wear\01) N_studies_with_1_assay_each\Data_mill\Case_06\Settings\CS\Case_06_time_run_01.csv</v>
      </c>
      <c r="BK4" s="71" t="str">
        <f t="shared" si="7"/>
        <v>D:\DPL\ISA3\Example Implementations\NASA Tool Wear\01) N_studies_with_1_assay_each\Data_mill\Case_07\Settings\CS\Case_07_time_run_01.csv</v>
      </c>
      <c r="BL4" s="71" t="str">
        <f t="shared" si="7"/>
        <v>D:\DPL\ISA3\Example Implementations\NASA Tool Wear\01) N_studies_with_1_assay_each\Data_mill\Case_07\Settings\CS\Case_07_time_run_02.csv</v>
      </c>
      <c r="BM4" s="71" t="str">
        <f t="shared" si="7"/>
        <v>D:\DPL\ISA3\Example Implementations\NASA Tool Wear\01) N_studies_with_1_assay_each\Data_mill\Case_07\Settings\CS\Case_07_time_run_03.csv</v>
      </c>
      <c r="BN4" s="71" t="str">
        <f t="shared" si="7"/>
        <v>D:\DPL\ISA3\Example Implementations\NASA Tool Wear\01) N_studies_with_1_assay_each\Data_mill\Case_07\Settings\CS\Case_07_time_run_04.csv</v>
      </c>
      <c r="BO4" s="71" t="str">
        <f t="shared" si="7"/>
        <v>D:\DPL\ISA3\Example Implementations\NASA Tool Wear\01) N_studies_with_1_assay_each\Data_mill\Case_07\Settings\CS\Case_07_time_run_05.csv</v>
      </c>
      <c r="BP4" s="71" t="str">
        <f t="shared" ref="BP4:CU4" si="8">"D:\DPL\ISA3\Example Implementations\NASA Tool Wear\01) N_studies_with_1_assay_each\Data_mill\Case_"&amp;_xlfn.TEXTAFTER(BP$1,"s")&amp;"\Settings\CS\Case_"&amp;_xlfn.TEXTAFTER(BP$1,"s")&amp;"_time_run_"&amp;_xlfn.TEXTAFTER(BP$2,"Run ")&amp;".csv"</f>
        <v>D:\DPL\ISA3\Example Implementations\NASA Tool Wear\01) N_studies_with_1_assay_each\Data_mill\Case_07\Settings\CS\Case_07_time_run_06.csv</v>
      </c>
      <c r="BQ4" s="71" t="str">
        <f t="shared" si="8"/>
        <v>D:\DPL\ISA3\Example Implementations\NASA Tool Wear\01) N_studies_with_1_assay_each\Data_mill\Case_07\Settings\CS\Case_07_time_run_07.csv</v>
      </c>
      <c r="BR4" s="71" t="str">
        <f t="shared" si="8"/>
        <v>D:\DPL\ISA3\Example Implementations\NASA Tool Wear\01) N_studies_with_1_assay_each\Data_mill\Case_07\Settings\CS\Case_07_time_run_08.csv</v>
      </c>
      <c r="BS4" s="71" t="str">
        <f t="shared" si="8"/>
        <v>D:\DPL\ISA3\Example Implementations\NASA Tool Wear\01) N_studies_with_1_assay_each\Data_mill\Case_08\Settings\CS\Case_08_time_run_01.csv</v>
      </c>
      <c r="BT4" s="71" t="str">
        <f t="shared" si="8"/>
        <v>D:\DPL\ISA3\Example Implementations\NASA Tool Wear\01) N_studies_with_1_assay_each\Data_mill\Case_08\Settings\CS\Case_08_time_run_02.csv</v>
      </c>
      <c r="BU4" s="71" t="str">
        <f t="shared" si="8"/>
        <v>D:\DPL\ISA3\Example Implementations\NASA Tool Wear\01) N_studies_with_1_assay_each\Data_mill\Case_08\Settings\CS\Case_08_time_run_03.csv</v>
      </c>
      <c r="BV4" s="71" t="str">
        <f t="shared" si="8"/>
        <v>D:\DPL\ISA3\Example Implementations\NASA Tool Wear\01) N_studies_with_1_assay_each\Data_mill\Case_08\Settings\CS\Case_08_time_run_04.csv</v>
      </c>
      <c r="BW4" s="71" t="str">
        <f t="shared" si="8"/>
        <v>D:\DPL\ISA3\Example Implementations\NASA Tool Wear\01) N_studies_with_1_assay_each\Data_mill\Case_08\Settings\CS\Case_08_time_run_05.csv</v>
      </c>
      <c r="BX4" s="71" t="str">
        <f t="shared" si="8"/>
        <v>D:\DPL\ISA3\Example Implementations\NASA Tool Wear\01) N_studies_with_1_assay_each\Data_mill\Case_08\Settings\CS\Case_08_time_run_06.csv</v>
      </c>
      <c r="BY4" s="71" t="str">
        <f t="shared" si="8"/>
        <v>D:\DPL\ISA3\Example Implementations\NASA Tool Wear\01) N_studies_with_1_assay_each\Data_mill\Case_09\Settings\CS\Case_09_time_run_01.csv</v>
      </c>
      <c r="BZ4" s="71" t="str">
        <f t="shared" si="8"/>
        <v>D:\DPL\ISA3\Example Implementations\NASA Tool Wear\01) N_studies_with_1_assay_each\Data_mill\Case_09\Settings\CS\Case_09_time_run_02.csv</v>
      </c>
      <c r="CA4" s="71" t="str">
        <f t="shared" si="8"/>
        <v>D:\DPL\ISA3\Example Implementations\NASA Tool Wear\01) N_studies_with_1_assay_each\Data_mill\Case_09\Settings\CS\Case_09_time_run_03.csv</v>
      </c>
      <c r="CB4" s="71" t="str">
        <f t="shared" si="8"/>
        <v>D:\DPL\ISA3\Example Implementations\NASA Tool Wear\01) N_studies_with_1_assay_each\Data_mill\Case_09\Settings\CS\Case_09_time_run_04.csv</v>
      </c>
      <c r="CC4" s="71" t="str">
        <f t="shared" si="8"/>
        <v>D:\DPL\ISA3\Example Implementations\NASA Tool Wear\01) N_studies_with_1_assay_each\Data_mill\Case_09\Settings\CS\Case_09_time_run_05.csv</v>
      </c>
      <c r="CD4" s="71" t="str">
        <f t="shared" si="8"/>
        <v>D:\DPL\ISA3\Example Implementations\NASA Tool Wear\01) N_studies_with_1_assay_each\Data_mill\Case_09\Settings\CS\Case_09_time_run_06.csv</v>
      </c>
      <c r="CE4" s="71" t="str">
        <f t="shared" si="8"/>
        <v>D:\DPL\ISA3\Example Implementations\NASA Tool Wear\01) N_studies_with_1_assay_each\Data_mill\Case_09\Settings\CS\Case_09_time_run_07.csv</v>
      </c>
      <c r="CF4" s="71" t="str">
        <f t="shared" si="8"/>
        <v>D:\DPL\ISA3\Example Implementations\NASA Tool Wear\01) N_studies_with_1_assay_each\Data_mill\Case_09\Settings\CS\Case_09_time_run_08.csv</v>
      </c>
      <c r="CG4" s="71" t="str">
        <f t="shared" si="8"/>
        <v>D:\DPL\ISA3\Example Implementations\NASA Tool Wear\01) N_studies_with_1_assay_each\Data_mill\Case_09\Settings\CS\Case_09_time_run_09.csv</v>
      </c>
      <c r="CH4" s="71" t="str">
        <f t="shared" si="8"/>
        <v>D:\DPL\ISA3\Example Implementations\NASA Tool Wear\01) N_studies_with_1_assay_each\Data_mill\Case_10\Settings\CS\Case_10_time_run_01.csv</v>
      </c>
      <c r="CI4" s="71" t="str">
        <f t="shared" si="8"/>
        <v>D:\DPL\ISA3\Example Implementations\NASA Tool Wear\01) N_studies_with_1_assay_each\Data_mill\Case_10\Settings\CS\Case_10_time_run_02.csv</v>
      </c>
      <c r="CJ4" s="71" t="str">
        <f t="shared" si="8"/>
        <v>D:\DPL\ISA3\Example Implementations\NASA Tool Wear\01) N_studies_with_1_assay_each\Data_mill\Case_10\Settings\CS\Case_10_time_run_03.csv</v>
      </c>
      <c r="CK4" s="71" t="str">
        <f t="shared" si="8"/>
        <v>D:\DPL\ISA3\Example Implementations\NASA Tool Wear\01) N_studies_with_1_assay_each\Data_mill\Case_10\Settings\CS\Case_10_time_run_04.csv</v>
      </c>
      <c r="CL4" s="71" t="str">
        <f t="shared" si="8"/>
        <v>D:\DPL\ISA3\Example Implementations\NASA Tool Wear\01) N_studies_with_1_assay_each\Data_mill\Case_10\Settings\CS\Case_10_time_run_05.csv</v>
      </c>
      <c r="CM4" s="71" t="str">
        <f t="shared" si="8"/>
        <v>D:\DPL\ISA3\Example Implementations\NASA Tool Wear\01) N_studies_with_1_assay_each\Data_mill\Case_10\Settings\CS\Case_10_time_run_06.csv</v>
      </c>
      <c r="CN4" s="71" t="str">
        <f t="shared" si="8"/>
        <v>D:\DPL\ISA3\Example Implementations\NASA Tool Wear\01) N_studies_with_1_assay_each\Data_mill\Case_10\Settings\CS\Case_10_time_run_07.csv</v>
      </c>
      <c r="CO4" s="71" t="str">
        <f t="shared" si="8"/>
        <v>D:\DPL\ISA3\Example Implementations\NASA Tool Wear\01) N_studies_with_1_assay_each\Data_mill\Case_10\Settings\CS\Case_10_time_run_08.csv</v>
      </c>
      <c r="CP4" s="71" t="str">
        <f t="shared" si="8"/>
        <v>D:\DPL\ISA3\Example Implementations\NASA Tool Wear\01) N_studies_with_1_assay_each\Data_mill\Case_10\Settings\CS\Case_10_time_run_09.csv</v>
      </c>
      <c r="CQ4" s="71" t="str">
        <f t="shared" si="8"/>
        <v>D:\DPL\ISA3\Example Implementations\NASA Tool Wear\01) N_studies_with_1_assay_each\Data_mill\Case_10\Settings\CS\Case_10_time_run_10.csv</v>
      </c>
      <c r="CR4" s="71" t="str">
        <f t="shared" si="8"/>
        <v>D:\DPL\ISA3\Example Implementations\NASA Tool Wear\01) N_studies_with_1_assay_each\Data_mill\Case_11\Settings\CS\Case_11_time_run_01.csv</v>
      </c>
      <c r="CS4" s="71" t="str">
        <f t="shared" si="8"/>
        <v>D:\DPL\ISA3\Example Implementations\NASA Tool Wear\01) N_studies_with_1_assay_each\Data_mill\Case_11\Settings\CS\Case_11_time_run_02.csv</v>
      </c>
      <c r="CT4" s="71" t="str">
        <f t="shared" si="8"/>
        <v>D:\DPL\ISA3\Example Implementations\NASA Tool Wear\01) N_studies_with_1_assay_each\Data_mill\Case_11\Settings\CS\Case_11_time_run_03.csv</v>
      </c>
      <c r="CU4" s="71" t="str">
        <f t="shared" si="8"/>
        <v>D:\DPL\ISA3\Example Implementations\NASA Tool Wear\01) N_studies_with_1_assay_each\Data_mill\Case_11\Settings\CS\Case_11_time_run_04.csv</v>
      </c>
      <c r="CV4" s="71" t="str">
        <f t="shared" ref="CV4:EC4" si="9">"D:\DPL\ISA3\Example Implementations\NASA Tool Wear\01) N_studies_with_1_assay_each\Data_mill\Case_"&amp;_xlfn.TEXTAFTER(CV$1,"s")&amp;"\Settings\CS\Case_"&amp;_xlfn.TEXTAFTER(CV$1,"s")&amp;"_time_run_"&amp;_xlfn.TEXTAFTER(CV$2,"Run ")&amp;".csv"</f>
        <v>D:\DPL\ISA3\Example Implementations\NASA Tool Wear\01) N_studies_with_1_assay_each\Data_mill\Case_11\Settings\CS\Case_11_time_run_05.csv</v>
      </c>
      <c r="CW4" s="71" t="str">
        <f t="shared" si="9"/>
        <v>D:\DPL\ISA3\Example Implementations\NASA Tool Wear\01) N_studies_with_1_assay_each\Data_mill\Case_11\Settings\CS\Case_11_time_run_06.csv</v>
      </c>
      <c r="CX4" s="71" t="str">
        <f t="shared" si="9"/>
        <v>D:\DPL\ISA3\Example Implementations\NASA Tool Wear\01) N_studies_with_1_assay_each\Data_mill\Case_11\Settings\CS\Case_11_time_run_07.csv</v>
      </c>
      <c r="CY4" s="71" t="str">
        <f t="shared" si="9"/>
        <v>D:\DPL\ISA3\Example Implementations\NASA Tool Wear\01) N_studies_with_1_assay_each\Data_mill\Case_11\Settings\CS\Case_11_time_run_08.csv</v>
      </c>
      <c r="CZ4" s="71" t="str">
        <f t="shared" si="9"/>
        <v>D:\DPL\ISA3\Example Implementations\NASA Tool Wear\01) N_studies_with_1_assay_each\Data_mill\Case_11\Settings\CS\Case_11_time_run_09.csv</v>
      </c>
      <c r="DA4" s="71" t="str">
        <f t="shared" si="9"/>
        <v>D:\DPL\ISA3\Example Implementations\NASA Tool Wear\01) N_studies_with_1_assay_each\Data_mill\Case_11\Settings\CS\Case_11_time_run_10.csv</v>
      </c>
      <c r="DB4" s="71" t="str">
        <f t="shared" si="9"/>
        <v>D:\DPL\ISA3\Example Implementations\NASA Tool Wear\01) N_studies_with_1_assay_each\Data_mill\Case_11\Settings\CS\Case_11_time_run_11.csv</v>
      </c>
      <c r="DC4" s="71" t="str">
        <f t="shared" si="9"/>
        <v>D:\DPL\ISA3\Example Implementations\NASA Tool Wear\01) N_studies_with_1_assay_each\Data_mill\Case_11\Settings\CS\Case_11_time_run_12.csv</v>
      </c>
      <c r="DD4" s="71" t="str">
        <f t="shared" si="9"/>
        <v>D:\DPL\ISA3\Example Implementations\NASA Tool Wear\01) N_studies_with_1_assay_each\Data_mill\Case_11\Settings\CS\Case_11_time_run_13.csv</v>
      </c>
      <c r="DE4" s="71" t="str">
        <f t="shared" si="9"/>
        <v>D:\DPL\ISA3\Example Implementations\NASA Tool Wear\01) N_studies_with_1_assay_each\Data_mill\Case_11\Settings\CS\Case_11_time_run_14.csv</v>
      </c>
      <c r="DF4" s="71" t="str">
        <f t="shared" si="9"/>
        <v>D:\DPL\ISA3\Example Implementations\NASA Tool Wear\01) N_studies_with_1_assay_each\Data_mill\Case_11\Settings\CS\Case_11_time_run_15.csv</v>
      </c>
      <c r="DG4" s="71" t="str">
        <f t="shared" si="9"/>
        <v>D:\DPL\ISA3\Example Implementations\NASA Tool Wear\01) N_studies_with_1_assay_each\Data_mill\Case_11\Settings\CS\Case_11_time_run_16.csv</v>
      </c>
      <c r="DH4" s="71" t="str">
        <f t="shared" si="9"/>
        <v>D:\DPL\ISA3\Example Implementations\NASA Tool Wear\01) N_studies_with_1_assay_each\Data_mill\Case_11\Settings\CS\Case_11_time_run_17.csv</v>
      </c>
      <c r="DI4" s="71" t="str">
        <f t="shared" si="9"/>
        <v>D:\DPL\ISA3\Example Implementations\NASA Tool Wear\01) N_studies_with_1_assay_each\Data_mill\Case_11\Settings\CS\Case_11_time_run_18.csv</v>
      </c>
      <c r="DJ4" s="71" t="str">
        <f t="shared" si="9"/>
        <v>D:\DPL\ISA3\Example Implementations\NASA Tool Wear\01) N_studies_with_1_assay_each\Data_mill\Case_11\Settings\CS\Case_11_time_run_19.csv</v>
      </c>
      <c r="DK4" s="71" t="str">
        <f t="shared" si="9"/>
        <v>D:\DPL\ISA3\Example Implementations\NASA Tool Wear\01) N_studies_with_1_assay_each\Data_mill\Case_11\Settings\CS\Case_11_time_run_20.csv</v>
      </c>
      <c r="DL4" s="71" t="str">
        <f t="shared" si="9"/>
        <v>D:\DPL\ISA3\Example Implementations\NASA Tool Wear\01) N_studies_with_1_assay_each\Data_mill\Case_11\Settings\CS\Case_11_time_run_21.csv</v>
      </c>
      <c r="DM4" s="71" t="str">
        <f t="shared" si="9"/>
        <v>D:\DPL\ISA3\Example Implementations\NASA Tool Wear\01) N_studies_with_1_assay_each\Data_mill\Case_11\Settings\CS\Case_11_time_run_22.csv</v>
      </c>
      <c r="DN4" s="71" t="str">
        <f t="shared" si="9"/>
        <v>D:\DPL\ISA3\Example Implementations\NASA Tool Wear\01) N_studies_with_1_assay_each\Data_mill\Case_11\Settings\CS\Case_11_time_run_23.csv</v>
      </c>
      <c r="DO4" s="71" t="str">
        <f t="shared" si="9"/>
        <v>D:\DPL\ISA3\Example Implementations\NASA Tool Wear\01) N_studies_with_1_assay_each\Data_mill\Case_12\Settings\CS\Case_12_time_run_01.csv</v>
      </c>
      <c r="DP4" s="71" t="str">
        <f t="shared" si="9"/>
        <v>D:\DPL\ISA3\Example Implementations\NASA Tool Wear\01) N_studies_with_1_assay_each\Data_mill\Case_12\Settings\CS\Case_12_time_run_02.csv</v>
      </c>
      <c r="DQ4" s="71" t="str">
        <f t="shared" si="9"/>
        <v>D:\DPL\ISA3\Example Implementations\NASA Tool Wear\01) N_studies_with_1_assay_each\Data_mill\Case_12\Settings\CS\Case_12_time_run_03.csv</v>
      </c>
      <c r="DR4" s="71" t="str">
        <f t="shared" si="9"/>
        <v>D:\DPL\ISA3\Example Implementations\NASA Tool Wear\01) N_studies_with_1_assay_each\Data_mill\Case_12\Settings\CS\Case_12_time_run_04.csv</v>
      </c>
      <c r="DS4" s="71" t="str">
        <f t="shared" si="9"/>
        <v>D:\DPL\ISA3\Example Implementations\NASA Tool Wear\01) N_studies_with_1_assay_each\Data_mill\Case_12\Settings\CS\Case_12_time_run_05.csv</v>
      </c>
      <c r="DT4" s="71" t="str">
        <f t="shared" si="9"/>
        <v>D:\DPL\ISA3\Example Implementations\NASA Tool Wear\01) N_studies_with_1_assay_each\Data_mill\Case_12\Settings\CS\Case_12_time_run_06.csv</v>
      </c>
      <c r="DU4" s="71" t="str">
        <f t="shared" si="9"/>
        <v>D:\DPL\ISA3\Example Implementations\NASA Tool Wear\01) N_studies_with_1_assay_each\Data_mill\Case_12\Settings\CS\Case_12_time_run_07.csv</v>
      </c>
      <c r="DV4" s="71" t="str">
        <f t="shared" si="9"/>
        <v>D:\DPL\ISA3\Example Implementations\NASA Tool Wear\01) N_studies_with_1_assay_each\Data_mill\Case_12\Settings\CS\Case_12_time_run_08.csv</v>
      </c>
      <c r="DW4" s="71" t="str">
        <f t="shared" si="9"/>
        <v>D:\DPL\ISA3\Example Implementations\NASA Tool Wear\01) N_studies_with_1_assay_each\Data_mill\Case_12\Settings\CS\Case_12_time_run_09.csv</v>
      </c>
      <c r="DX4" s="71" t="str">
        <f t="shared" si="9"/>
        <v>D:\DPL\ISA3\Example Implementations\NASA Tool Wear\01) N_studies_with_1_assay_each\Data_mill\Case_12\Settings\CS\Case_12_time_run_10.csv</v>
      </c>
      <c r="DY4" s="71" t="str">
        <f t="shared" si="9"/>
        <v>D:\DPL\ISA3\Example Implementations\NASA Tool Wear\01) N_studies_with_1_assay_each\Data_mill\Case_12\Settings\CS\Case_12_time_run_11.csv</v>
      </c>
      <c r="DZ4" s="71" t="str">
        <f t="shared" si="9"/>
        <v>D:\DPL\ISA3\Example Implementations\NASA Tool Wear\01) N_studies_with_1_assay_each\Data_mill\Case_12\Settings\CS\Case_12_time_run_12.csv</v>
      </c>
      <c r="EA4" s="71" t="str">
        <f t="shared" si="9"/>
        <v>D:\DPL\ISA3\Example Implementations\NASA Tool Wear\01) N_studies_with_1_assay_each\Data_mill\Case_12\Settings\CS\Case_12_time_run_13.csv</v>
      </c>
      <c r="EB4" s="71" t="str">
        <f t="shared" si="9"/>
        <v>D:\DPL\ISA3\Example Implementations\NASA Tool Wear\01) N_studies_with_1_assay_each\Data_mill\Case_12\Settings\CS\Case_12_time_run_14.csv</v>
      </c>
      <c r="EC4" s="71" t="str">
        <f t="shared" si="9"/>
        <v>D:\DPL\ISA3\Example Implementations\NASA Tool Wear\01) N_studies_with_1_assay_each\Data_mill\Case_12\Settings\CS\Case_12_time_run_15.csv</v>
      </c>
      <c r="ED4" s="71" t="str">
        <f t="shared" ref="ED4:ER4" si="10">"D:\DPL\ISA3\Example Implementations\NASA Tool Wear\01) N_studies_with_1_assay_each\Data_mill\Case_"&amp;_xlfn.TEXTAFTER(ED$1,"s")&amp;"\Settings\CS\Case_"&amp;_xlfn.TEXTAFTER(ED$1,"s")&amp;"_time_run_"&amp;_xlfn.TEXTAFTER(ED$2,"Run ")&amp;".csv"</f>
        <v>D:\DPL\ISA3\Example Implementations\NASA Tool Wear\01) N_studies_with_1_assay_each\Data_mill\Case_13\Settings\CS\Case_13_time_run_01.csv</v>
      </c>
      <c r="EE4" s="71" t="str">
        <f t="shared" si="10"/>
        <v>D:\DPL\ISA3\Example Implementations\NASA Tool Wear\01) N_studies_with_1_assay_each\Data_mill\Case_13\Settings\CS\Case_13_time_run_02.csv</v>
      </c>
      <c r="EF4" s="71" t="str">
        <f t="shared" si="10"/>
        <v>D:\DPL\ISA3\Example Implementations\NASA Tool Wear\01) N_studies_with_1_assay_each\Data_mill\Case_13\Settings\CS\Case_13_time_run_03.csv</v>
      </c>
      <c r="EG4" s="71" t="str">
        <f t="shared" si="10"/>
        <v>D:\DPL\ISA3\Example Implementations\NASA Tool Wear\01) N_studies_with_1_assay_each\Data_mill\Case_13\Settings\CS\Case_13_time_run_04.csv</v>
      </c>
      <c r="EH4" s="71" t="str">
        <f t="shared" si="10"/>
        <v>D:\DPL\ISA3\Example Implementations\NASA Tool Wear\01) N_studies_with_1_assay_each\Data_mill\Case_13\Settings\CS\Case_13_time_run_05.csv</v>
      </c>
      <c r="EI4" s="71" t="str">
        <f t="shared" si="10"/>
        <v>D:\DPL\ISA3\Example Implementations\NASA Tool Wear\01) N_studies_with_1_assay_each\Data_mill\Case_13\Settings\CS\Case_13_time_run_06.csv</v>
      </c>
      <c r="EJ4" s="71" t="str">
        <f t="shared" si="10"/>
        <v>D:\DPL\ISA3\Example Implementations\NASA Tool Wear\01) N_studies_with_1_assay_each\Data_mill\Case_13\Settings\CS\Case_13_time_run_07.csv</v>
      </c>
      <c r="EK4" s="71" t="str">
        <f t="shared" si="10"/>
        <v>D:\DPL\ISA3\Example Implementations\NASA Tool Wear\01) N_studies_with_1_assay_each\Data_mill\Case_13\Settings\CS\Case_13_time_run_08.csv</v>
      </c>
      <c r="EL4" s="71" t="str">
        <f t="shared" si="10"/>
        <v>D:\DPL\ISA3\Example Implementations\NASA Tool Wear\01) N_studies_with_1_assay_each\Data_mill\Case_13\Settings\CS\Case_13_time_run_09.csv</v>
      </c>
      <c r="EM4" s="71" t="str">
        <f t="shared" si="10"/>
        <v>D:\DPL\ISA3\Example Implementations\NASA Tool Wear\01) N_studies_with_1_assay_each\Data_mill\Case_13\Settings\CS\Case_13_time_run_10.csv</v>
      </c>
      <c r="EN4" s="71" t="str">
        <f t="shared" si="10"/>
        <v>D:\DPL\ISA3\Example Implementations\NASA Tool Wear\01) N_studies_with_1_assay_each\Data_mill\Case_13\Settings\CS\Case_13_time_run_11.csv</v>
      </c>
      <c r="EO4" s="71" t="str">
        <f t="shared" si="10"/>
        <v>D:\DPL\ISA3\Example Implementations\NASA Tool Wear\01) N_studies_with_1_assay_each\Data_mill\Case_13\Settings\CS\Case_13_time_run_12.csv</v>
      </c>
      <c r="EP4" s="71" t="str">
        <f t="shared" si="10"/>
        <v>D:\DPL\ISA3\Example Implementations\NASA Tool Wear\01) N_studies_with_1_assay_each\Data_mill\Case_13\Settings\CS\Case_13_time_run_13.csv</v>
      </c>
      <c r="EQ4" s="71" t="str">
        <f t="shared" si="10"/>
        <v>D:\DPL\ISA3\Example Implementations\NASA Tool Wear\01) N_studies_with_1_assay_each\Data_mill\Case_13\Settings\CS\Case_13_time_run_14.csv</v>
      </c>
      <c r="ER4" s="71" t="str">
        <f t="shared" si="10"/>
        <v>D:\DPL\ISA3\Example Implementations\NASA Tool Wear\01) N_studies_with_1_assay_each\Data_mill\Case_13\Settings\CS\Case_13_time_run_15.csv</v>
      </c>
      <c r="ES4" s="71" t="str">
        <f t="shared" ref="ES4:FM4" si="11">"D:\DPL\ISA3\Example Implementations\NASA Tool Wear\01) N_studies_with_1_assay_each\Data_mill\Case_"&amp;_xlfn.TEXTAFTER(ES$1,"s")&amp;"\Settings\CS\Case_"&amp;_xlfn.TEXTAFTER(ES$1,"s")&amp;"_time_run_"&amp;_xlfn.TEXTAFTER(ES$2,"Run ")&amp;".csv"</f>
        <v>D:\DPL\ISA3\Example Implementations\NASA Tool Wear\01) N_studies_with_1_assay_each\Data_mill\Case_14\Settings\CS\Case_14_time_run_01.csv</v>
      </c>
      <c r="ET4" s="71" t="str">
        <f t="shared" si="11"/>
        <v>D:\DPL\ISA3\Example Implementations\NASA Tool Wear\01) N_studies_with_1_assay_each\Data_mill\Case_14\Settings\CS\Case_14_time_run_02.csv</v>
      </c>
      <c r="EU4" s="71" t="str">
        <f t="shared" si="11"/>
        <v>D:\DPL\ISA3\Example Implementations\NASA Tool Wear\01) N_studies_with_1_assay_each\Data_mill\Case_14\Settings\CS\Case_14_time_run_03.csv</v>
      </c>
      <c r="EV4" s="71" t="str">
        <f t="shared" si="11"/>
        <v>D:\DPL\ISA3\Example Implementations\NASA Tool Wear\01) N_studies_with_1_assay_each\Data_mill\Case_14\Settings\CS\Case_14_time_run_04.csv</v>
      </c>
      <c r="EW4" s="71" t="str">
        <f t="shared" si="11"/>
        <v>D:\DPL\ISA3\Example Implementations\NASA Tool Wear\01) N_studies_with_1_assay_each\Data_mill\Case_14\Settings\CS\Case_14_time_run_05.csv</v>
      </c>
      <c r="EX4" s="71" t="str">
        <f t="shared" si="11"/>
        <v>D:\DPL\ISA3\Example Implementations\NASA Tool Wear\01) N_studies_with_1_assay_each\Data_mill\Case_14\Settings\CS\Case_14_time_run_06.csv</v>
      </c>
      <c r="EY4" s="71" t="str">
        <f t="shared" si="11"/>
        <v>D:\DPL\ISA3\Example Implementations\NASA Tool Wear\01) N_studies_with_1_assay_each\Data_mill\Case_14\Settings\CS\Case_14_time_run_07.csv</v>
      </c>
      <c r="EZ4" s="71" t="str">
        <f t="shared" si="11"/>
        <v>D:\DPL\ISA3\Example Implementations\NASA Tool Wear\01) N_studies_with_1_assay_each\Data_mill\Case_14\Settings\CS\Case_14_time_run_08.csv</v>
      </c>
      <c r="FA4" s="71" t="str">
        <f t="shared" si="11"/>
        <v>D:\DPL\ISA3\Example Implementations\NASA Tool Wear\01) N_studies_with_1_assay_each\Data_mill\Case_14\Settings\CS\Case_14_time_run_09.csv</v>
      </c>
      <c r="FB4" s="71" t="str">
        <f t="shared" si="11"/>
        <v>D:\DPL\ISA3\Example Implementations\NASA Tool Wear\01) N_studies_with_1_assay_each\Data_mill\Case_15\Settings\CS\Case_15_time_run_01.csv</v>
      </c>
      <c r="FC4" s="71" t="str">
        <f t="shared" si="11"/>
        <v>D:\DPL\ISA3\Example Implementations\NASA Tool Wear\01) N_studies_with_1_assay_each\Data_mill\Case_15\Settings\CS\Case_15_time_run_02.csv</v>
      </c>
      <c r="FD4" s="71" t="str">
        <f t="shared" si="11"/>
        <v>D:\DPL\ISA3\Example Implementations\NASA Tool Wear\01) N_studies_with_1_assay_each\Data_mill\Case_15\Settings\CS\Case_15_time_run_03.csv</v>
      </c>
      <c r="FE4" s="71" t="str">
        <f t="shared" si="11"/>
        <v>D:\DPL\ISA3\Example Implementations\NASA Tool Wear\01) N_studies_with_1_assay_each\Data_mill\Case_15\Settings\CS\Case_15_time_run_04.csv</v>
      </c>
      <c r="FF4" s="71" t="str">
        <f t="shared" si="11"/>
        <v>D:\DPL\ISA3\Example Implementations\NASA Tool Wear\01) N_studies_with_1_assay_each\Data_mill\Case_15\Settings\CS\Case_15_time_run_05.csv</v>
      </c>
      <c r="FG4" s="71" t="str">
        <f t="shared" si="11"/>
        <v>D:\DPL\ISA3\Example Implementations\NASA Tool Wear\01) N_studies_with_1_assay_each\Data_mill\Case_15\Settings\CS\Case_15_time_run_06.csv</v>
      </c>
      <c r="FH4" s="71" t="str">
        <f t="shared" si="11"/>
        <v>D:\DPL\ISA3\Example Implementations\NASA Tool Wear\01) N_studies_with_1_assay_each\Data_mill\Case_16\Settings\CS\Case_16_time_run_01.csv</v>
      </c>
      <c r="FI4" s="71" t="str">
        <f t="shared" si="11"/>
        <v>D:\DPL\ISA3\Example Implementations\NASA Tool Wear\01) N_studies_with_1_assay_each\Data_mill\Case_16\Settings\CS\Case_16_time_run_02.csv</v>
      </c>
      <c r="FJ4" s="71" t="str">
        <f t="shared" si="11"/>
        <v>D:\DPL\ISA3\Example Implementations\NASA Tool Wear\01) N_studies_with_1_assay_each\Data_mill\Case_16\Settings\CS\Case_16_time_run_03.csv</v>
      </c>
      <c r="FK4" s="71" t="str">
        <f t="shared" si="11"/>
        <v>D:\DPL\ISA3\Example Implementations\NASA Tool Wear\01) N_studies_with_1_assay_each\Data_mill\Case_16\Settings\CS\Case_16_time_run_04.csv</v>
      </c>
      <c r="FL4" s="71" t="str">
        <f t="shared" si="11"/>
        <v>D:\DPL\ISA3\Example Implementations\NASA Tool Wear\01) N_studies_with_1_assay_each\Data_mill\Case_16\Settings\CS\Case_16_time_run_05.csv</v>
      </c>
      <c r="FM4" s="71" t="str">
        <f t="shared" si="11"/>
        <v>D:\DPL\ISA3\Example Implementations\NASA Tool Wear\01) N_studies_with_1_assay_each\Data_mill\Case_16\Settings\CS\Case_16_time_run_06.csv</v>
      </c>
      <c r="FN4" s="71"/>
    </row>
    <row r="5" spans="1:175" x14ac:dyDescent="0.3">
      <c r="A5" t="s">
        <v>125</v>
      </c>
      <c r="B5" t="s">
        <v>20</v>
      </c>
      <c r="C5" s="16" t="s">
        <v>70</v>
      </c>
      <c r="D5" t="str">
        <f t="shared" ref="D5:AI5" si="12">"D:\DPL\ISA3\Example Implementations\NASA Tool Wear\01) N_studies_with_1_assay_each\Data_mill\Case_"&amp;_xlfn.TEXTAFTER(D$1,"s")&amp;"\Settings\DOC\Case_"&amp;_xlfn.TEXTAFTER(D$1,"s")&amp;"_time_run_"&amp;_xlfn.TEXTAFTER(D$2,"Run ")&amp;".csv"</f>
        <v>D:\DPL\ISA3\Example Implementations\NASA Tool Wear\01) N_studies_with_1_assay_each\Data_mill\Case_01\Settings\DOC\Case_01_time_run_01.csv</v>
      </c>
      <c r="E5" s="71" t="str">
        <f t="shared" si="12"/>
        <v>D:\DPL\ISA3\Example Implementations\NASA Tool Wear\01) N_studies_with_1_assay_each\Data_mill\Case_01\Settings\DOC\Case_01_time_run_02.csv</v>
      </c>
      <c r="F5" s="71" t="str">
        <f t="shared" si="12"/>
        <v>D:\DPL\ISA3\Example Implementations\NASA Tool Wear\01) N_studies_with_1_assay_each\Data_mill\Case_01\Settings\DOC\Case_01_time_run_03.csv</v>
      </c>
      <c r="G5" s="71" t="str">
        <f t="shared" si="12"/>
        <v>D:\DPL\ISA3\Example Implementations\NASA Tool Wear\01) N_studies_with_1_assay_each\Data_mill\Case_01\Settings\DOC\Case_01_time_run_04.csv</v>
      </c>
      <c r="H5" s="71" t="str">
        <f t="shared" si="12"/>
        <v>D:\DPL\ISA3\Example Implementations\NASA Tool Wear\01) N_studies_with_1_assay_each\Data_mill\Case_01\Settings\DOC\Case_01_time_run_05.csv</v>
      </c>
      <c r="I5" s="71" t="str">
        <f t="shared" si="12"/>
        <v>D:\DPL\ISA3\Example Implementations\NASA Tool Wear\01) N_studies_with_1_assay_each\Data_mill\Case_01\Settings\DOC\Case_01_time_run_06.csv</v>
      </c>
      <c r="J5" s="71" t="str">
        <f t="shared" si="12"/>
        <v>D:\DPL\ISA3\Example Implementations\NASA Tool Wear\01) N_studies_with_1_assay_each\Data_mill\Case_01\Settings\DOC\Case_01_time_run_07.csv</v>
      </c>
      <c r="K5" s="71" t="str">
        <f t="shared" si="12"/>
        <v>D:\DPL\ISA3\Example Implementations\NASA Tool Wear\01) N_studies_with_1_assay_each\Data_mill\Case_01\Settings\DOC\Case_01_time_run_08.csv</v>
      </c>
      <c r="L5" s="71" t="str">
        <f t="shared" si="12"/>
        <v>D:\DPL\ISA3\Example Implementations\NASA Tool Wear\01) N_studies_with_1_assay_each\Data_mill\Case_01\Settings\DOC\Case_01_time_run_09.csv</v>
      </c>
      <c r="M5" s="71" t="str">
        <f t="shared" si="12"/>
        <v>D:\DPL\ISA3\Example Implementations\NASA Tool Wear\01) N_studies_with_1_assay_each\Data_mill\Case_01\Settings\DOC\Case_01_time_run_10.csv</v>
      </c>
      <c r="N5" s="71" t="str">
        <f t="shared" si="12"/>
        <v>D:\DPL\ISA3\Example Implementations\NASA Tool Wear\01) N_studies_with_1_assay_each\Data_mill\Case_01\Settings\DOC\Case_01_time_run_11.csv</v>
      </c>
      <c r="O5" s="71" t="str">
        <f t="shared" si="12"/>
        <v>D:\DPL\ISA3\Example Implementations\NASA Tool Wear\01) N_studies_with_1_assay_each\Data_mill\Case_01\Settings\DOC\Case_01_time_run_12.csv</v>
      </c>
      <c r="P5" s="71" t="str">
        <f t="shared" si="12"/>
        <v>D:\DPL\ISA3\Example Implementations\NASA Tool Wear\01) N_studies_with_1_assay_each\Data_mill\Case_01\Settings\DOC\Case_01_time_run_13.csv</v>
      </c>
      <c r="Q5" s="71" t="str">
        <f t="shared" si="12"/>
        <v>D:\DPL\ISA3\Example Implementations\NASA Tool Wear\01) N_studies_with_1_assay_each\Data_mill\Case_01\Settings\DOC\Case_01_time_run_14.csv</v>
      </c>
      <c r="R5" s="71" t="str">
        <f t="shared" si="12"/>
        <v>D:\DPL\ISA3\Example Implementations\NASA Tool Wear\01) N_studies_with_1_assay_each\Data_mill\Case_01\Settings\DOC\Case_01_time_run_15.csv</v>
      </c>
      <c r="S5" s="71" t="str">
        <f t="shared" si="12"/>
        <v>D:\DPL\ISA3\Example Implementations\NASA Tool Wear\01) N_studies_with_1_assay_each\Data_mill\Case_01\Settings\DOC\Case_01_time_run_16.csv</v>
      </c>
      <c r="T5" s="71" t="str">
        <f t="shared" si="12"/>
        <v>D:\DPL\ISA3\Example Implementations\NASA Tool Wear\01) N_studies_with_1_assay_each\Data_mill\Case_01\Settings\DOC\Case_01_time_run_17.csv</v>
      </c>
      <c r="U5" s="71" t="str">
        <f t="shared" si="12"/>
        <v>D:\DPL\ISA3\Example Implementations\NASA Tool Wear\01) N_studies_with_1_assay_each\Data_mill\Case_02\Settings\DOC\Case_02_time_run_01.csv</v>
      </c>
      <c r="V5" s="71" t="str">
        <f t="shared" si="12"/>
        <v>D:\DPL\ISA3\Example Implementations\NASA Tool Wear\01) N_studies_with_1_assay_each\Data_mill\Case_02\Settings\DOC\Case_02_time_run_02.csv</v>
      </c>
      <c r="W5" s="71" t="str">
        <f t="shared" si="12"/>
        <v>D:\DPL\ISA3\Example Implementations\NASA Tool Wear\01) N_studies_with_1_assay_each\Data_mill\Case_02\Settings\DOC\Case_02_time_run_03.csv</v>
      </c>
      <c r="X5" s="71" t="str">
        <f t="shared" si="12"/>
        <v>D:\DPL\ISA3\Example Implementations\NASA Tool Wear\01) N_studies_with_1_assay_each\Data_mill\Case_02\Settings\DOC\Case_02_time_run_04.csv</v>
      </c>
      <c r="Y5" s="71" t="str">
        <f t="shared" si="12"/>
        <v>D:\DPL\ISA3\Example Implementations\NASA Tool Wear\01) N_studies_with_1_assay_each\Data_mill\Case_02\Settings\DOC\Case_02_time_run_05.csv</v>
      </c>
      <c r="Z5" s="71" t="str">
        <f t="shared" si="12"/>
        <v>D:\DPL\ISA3\Example Implementations\NASA Tool Wear\01) N_studies_with_1_assay_each\Data_mill\Case_02\Settings\DOC\Case_02_time_run_06.csv</v>
      </c>
      <c r="AA5" s="71" t="str">
        <f t="shared" si="12"/>
        <v>D:\DPL\ISA3\Example Implementations\NASA Tool Wear\01) N_studies_with_1_assay_each\Data_mill\Case_02\Settings\DOC\Case_02_time_run_07.csv</v>
      </c>
      <c r="AB5" s="71" t="str">
        <f t="shared" si="12"/>
        <v>D:\DPL\ISA3\Example Implementations\NASA Tool Wear\01) N_studies_with_1_assay_each\Data_mill\Case_02\Settings\DOC\Case_02_time_run_08.csv</v>
      </c>
      <c r="AC5" s="71" t="str">
        <f t="shared" si="12"/>
        <v>D:\DPL\ISA3\Example Implementations\NASA Tool Wear\01) N_studies_with_1_assay_each\Data_mill\Case_02\Settings\DOC\Case_02_time_run_09.csv</v>
      </c>
      <c r="AD5" s="71" t="str">
        <f t="shared" si="12"/>
        <v>D:\DPL\ISA3\Example Implementations\NASA Tool Wear\01) N_studies_with_1_assay_each\Data_mill\Case_02\Settings\DOC\Case_02_time_run_10.csv</v>
      </c>
      <c r="AE5" s="71" t="str">
        <f t="shared" si="12"/>
        <v>D:\DPL\ISA3\Example Implementations\NASA Tool Wear\01) N_studies_with_1_assay_each\Data_mill\Case_02\Settings\DOC\Case_02_time_run_11.csv</v>
      </c>
      <c r="AF5" s="71" t="str">
        <f t="shared" si="12"/>
        <v>D:\DPL\ISA3\Example Implementations\NASA Tool Wear\01) N_studies_with_1_assay_each\Data_mill\Case_02\Settings\DOC\Case_02_time_run_12.csv</v>
      </c>
      <c r="AG5" s="71" t="str">
        <f t="shared" si="12"/>
        <v>D:\DPL\ISA3\Example Implementations\NASA Tool Wear\01) N_studies_with_1_assay_each\Data_mill\Case_02\Settings\DOC\Case_02_time_run_13.csv</v>
      </c>
      <c r="AH5" s="71" t="str">
        <f t="shared" si="12"/>
        <v>D:\DPL\ISA3\Example Implementations\NASA Tool Wear\01) N_studies_with_1_assay_each\Data_mill\Case_02\Settings\DOC\Case_02_time_run_14.csv</v>
      </c>
      <c r="AI5" s="71" t="str">
        <f t="shared" si="12"/>
        <v>D:\DPL\ISA3\Example Implementations\NASA Tool Wear\01) N_studies_with_1_assay_each\Data_mill\Case_03\Settings\DOC\Case_03_time_run_01.csv</v>
      </c>
      <c r="AJ5" s="71" t="str">
        <f t="shared" ref="AJ5:BO5" si="13">"D:\DPL\ISA3\Example Implementations\NASA Tool Wear\01) N_studies_with_1_assay_each\Data_mill\Case_"&amp;_xlfn.TEXTAFTER(AJ$1,"s")&amp;"\Settings\DOC\Case_"&amp;_xlfn.TEXTAFTER(AJ$1,"s")&amp;"_time_run_"&amp;_xlfn.TEXTAFTER(AJ$2,"Run ")&amp;".csv"</f>
        <v>D:\DPL\ISA3\Example Implementations\NASA Tool Wear\01) N_studies_with_1_assay_each\Data_mill\Case_03\Settings\DOC\Case_03_time_run_02.csv</v>
      </c>
      <c r="AK5" s="71" t="str">
        <f t="shared" si="13"/>
        <v>D:\DPL\ISA3\Example Implementations\NASA Tool Wear\01) N_studies_with_1_assay_each\Data_mill\Case_03\Settings\DOC\Case_03_time_run_03.csv</v>
      </c>
      <c r="AL5" s="71" t="str">
        <f t="shared" si="13"/>
        <v>D:\DPL\ISA3\Example Implementations\NASA Tool Wear\01) N_studies_with_1_assay_each\Data_mill\Case_03\Settings\DOC\Case_03_time_run_04.csv</v>
      </c>
      <c r="AM5" s="71" t="str">
        <f t="shared" si="13"/>
        <v>D:\DPL\ISA3\Example Implementations\NASA Tool Wear\01) N_studies_with_1_assay_each\Data_mill\Case_03\Settings\DOC\Case_03_time_run_05.csv</v>
      </c>
      <c r="AN5" s="71" t="str">
        <f t="shared" si="13"/>
        <v>D:\DPL\ISA3\Example Implementations\NASA Tool Wear\01) N_studies_with_1_assay_each\Data_mill\Case_03\Settings\DOC\Case_03_time_run_06.csv</v>
      </c>
      <c r="AO5" s="71" t="str">
        <f t="shared" si="13"/>
        <v>D:\DPL\ISA3\Example Implementations\NASA Tool Wear\01) N_studies_with_1_assay_each\Data_mill\Case_03\Settings\DOC\Case_03_time_run_07.csv</v>
      </c>
      <c r="AP5" s="71" t="str">
        <f t="shared" si="13"/>
        <v>D:\DPL\ISA3\Example Implementations\NASA Tool Wear\01) N_studies_with_1_assay_each\Data_mill\Case_03\Settings\DOC\Case_03_time_run_08.csv</v>
      </c>
      <c r="AQ5" s="71" t="str">
        <f t="shared" si="13"/>
        <v>D:\DPL\ISA3\Example Implementations\NASA Tool Wear\01) N_studies_with_1_assay_each\Data_mill\Case_03\Settings\DOC\Case_03_time_run_09.csv</v>
      </c>
      <c r="AR5" s="71" t="str">
        <f t="shared" si="13"/>
        <v>D:\DPL\ISA3\Example Implementations\NASA Tool Wear\01) N_studies_with_1_assay_each\Data_mill\Case_03\Settings\DOC\Case_03_time_run_10.csv</v>
      </c>
      <c r="AS5" s="71" t="str">
        <f t="shared" si="13"/>
        <v>D:\DPL\ISA3\Example Implementations\NASA Tool Wear\01) N_studies_with_1_assay_each\Data_mill\Case_03\Settings\DOC\Case_03_time_run_11.csv</v>
      </c>
      <c r="AT5" s="71" t="str">
        <f t="shared" si="13"/>
        <v>D:\DPL\ISA3\Example Implementations\NASA Tool Wear\01) N_studies_with_1_assay_each\Data_mill\Case_03\Settings\DOC\Case_03_time_run_12.csv</v>
      </c>
      <c r="AU5" s="71" t="str">
        <f t="shared" si="13"/>
        <v>D:\DPL\ISA3\Example Implementations\NASA Tool Wear\01) N_studies_with_1_assay_each\Data_mill\Case_03\Settings\DOC\Case_03_time_run_13.csv</v>
      </c>
      <c r="AV5" s="71" t="str">
        <f t="shared" si="13"/>
        <v>D:\DPL\ISA3\Example Implementations\NASA Tool Wear\01) N_studies_with_1_assay_each\Data_mill\Case_03\Settings\DOC\Case_03_time_run_14.csv</v>
      </c>
      <c r="AW5" s="71" t="str">
        <f t="shared" si="13"/>
        <v>D:\DPL\ISA3\Example Implementations\NASA Tool Wear\01) N_studies_with_1_assay_each\Data_mill\Case_04\Settings\DOC\Case_04_time_run_01.csv</v>
      </c>
      <c r="AX5" s="71" t="str">
        <f t="shared" si="13"/>
        <v>D:\DPL\ISA3\Example Implementations\NASA Tool Wear\01) N_studies_with_1_assay_each\Data_mill\Case_04\Settings\DOC\Case_04_time_run_02.csv</v>
      </c>
      <c r="AY5" s="71" t="str">
        <f t="shared" si="13"/>
        <v>D:\DPL\ISA3\Example Implementations\NASA Tool Wear\01) N_studies_with_1_assay_each\Data_mill\Case_04\Settings\DOC\Case_04_time_run_03.csv</v>
      </c>
      <c r="AZ5" s="71" t="str">
        <f t="shared" si="13"/>
        <v>D:\DPL\ISA3\Example Implementations\NASA Tool Wear\01) N_studies_with_1_assay_each\Data_mill\Case_04\Settings\DOC\Case_04_time_run_04.csv</v>
      </c>
      <c r="BA5" s="71" t="str">
        <f t="shared" si="13"/>
        <v>D:\DPL\ISA3\Example Implementations\NASA Tool Wear\01) N_studies_with_1_assay_each\Data_mill\Case_04\Settings\DOC\Case_04_time_run_05.csv</v>
      </c>
      <c r="BB5" s="71" t="str">
        <f t="shared" si="13"/>
        <v>D:\DPL\ISA3\Example Implementations\NASA Tool Wear\01) N_studies_with_1_assay_each\Data_mill\Case_04\Settings\DOC\Case_04_time_run_06.csv</v>
      </c>
      <c r="BC5" s="71" t="str">
        <f t="shared" si="13"/>
        <v>D:\DPL\ISA3\Example Implementations\NASA Tool Wear\01) N_studies_with_1_assay_each\Data_mill\Case_04\Settings\DOC\Case_04_time_run_07.csv</v>
      </c>
      <c r="BD5" s="71" t="str">
        <f t="shared" si="13"/>
        <v>D:\DPL\ISA3\Example Implementations\NASA Tool Wear\01) N_studies_with_1_assay_each\Data_mill\Case_05\Settings\DOC\Case_05_time_run_01.csv</v>
      </c>
      <c r="BE5" s="71" t="str">
        <f t="shared" si="13"/>
        <v>D:\DPL\ISA3\Example Implementations\NASA Tool Wear\01) N_studies_with_1_assay_each\Data_mill\Case_05\Settings\DOC\Case_05_time_run_02.csv</v>
      </c>
      <c r="BF5" s="71" t="str">
        <f t="shared" si="13"/>
        <v>D:\DPL\ISA3\Example Implementations\NASA Tool Wear\01) N_studies_with_1_assay_each\Data_mill\Case_05\Settings\DOC\Case_05_time_run_03.csv</v>
      </c>
      <c r="BG5" s="71" t="str">
        <f t="shared" si="13"/>
        <v>D:\DPL\ISA3\Example Implementations\NASA Tool Wear\01) N_studies_with_1_assay_each\Data_mill\Case_05\Settings\DOC\Case_05_time_run_04.csv</v>
      </c>
      <c r="BH5" s="71" t="str">
        <f t="shared" si="13"/>
        <v>D:\DPL\ISA3\Example Implementations\NASA Tool Wear\01) N_studies_with_1_assay_each\Data_mill\Case_05\Settings\DOC\Case_05_time_run_05.csv</v>
      </c>
      <c r="BI5" s="71" t="str">
        <f t="shared" si="13"/>
        <v>D:\DPL\ISA3\Example Implementations\NASA Tool Wear\01) N_studies_with_1_assay_each\Data_mill\Case_05\Settings\DOC\Case_05_time_run_06.csv</v>
      </c>
      <c r="BJ5" s="71" t="str">
        <f t="shared" si="13"/>
        <v>D:\DPL\ISA3\Example Implementations\NASA Tool Wear\01) N_studies_with_1_assay_each\Data_mill\Case_06\Settings\DOC\Case_06_time_run_01.csv</v>
      </c>
      <c r="BK5" s="71" t="str">
        <f t="shared" si="13"/>
        <v>D:\DPL\ISA3\Example Implementations\NASA Tool Wear\01) N_studies_with_1_assay_each\Data_mill\Case_07\Settings\DOC\Case_07_time_run_01.csv</v>
      </c>
      <c r="BL5" s="71" t="str">
        <f t="shared" si="13"/>
        <v>D:\DPL\ISA3\Example Implementations\NASA Tool Wear\01) N_studies_with_1_assay_each\Data_mill\Case_07\Settings\DOC\Case_07_time_run_02.csv</v>
      </c>
      <c r="BM5" s="71" t="str">
        <f t="shared" si="13"/>
        <v>D:\DPL\ISA3\Example Implementations\NASA Tool Wear\01) N_studies_with_1_assay_each\Data_mill\Case_07\Settings\DOC\Case_07_time_run_03.csv</v>
      </c>
      <c r="BN5" s="71" t="str">
        <f t="shared" si="13"/>
        <v>D:\DPL\ISA3\Example Implementations\NASA Tool Wear\01) N_studies_with_1_assay_each\Data_mill\Case_07\Settings\DOC\Case_07_time_run_04.csv</v>
      </c>
      <c r="BO5" s="71" t="str">
        <f t="shared" si="13"/>
        <v>D:\DPL\ISA3\Example Implementations\NASA Tool Wear\01) N_studies_with_1_assay_each\Data_mill\Case_07\Settings\DOC\Case_07_time_run_05.csv</v>
      </c>
      <c r="BP5" s="71" t="str">
        <f t="shared" ref="BP5:CU5" si="14">"D:\DPL\ISA3\Example Implementations\NASA Tool Wear\01) N_studies_with_1_assay_each\Data_mill\Case_"&amp;_xlfn.TEXTAFTER(BP$1,"s")&amp;"\Settings\DOC\Case_"&amp;_xlfn.TEXTAFTER(BP$1,"s")&amp;"_time_run_"&amp;_xlfn.TEXTAFTER(BP$2,"Run ")&amp;".csv"</f>
        <v>D:\DPL\ISA3\Example Implementations\NASA Tool Wear\01) N_studies_with_1_assay_each\Data_mill\Case_07\Settings\DOC\Case_07_time_run_06.csv</v>
      </c>
      <c r="BQ5" s="71" t="str">
        <f t="shared" si="14"/>
        <v>D:\DPL\ISA3\Example Implementations\NASA Tool Wear\01) N_studies_with_1_assay_each\Data_mill\Case_07\Settings\DOC\Case_07_time_run_07.csv</v>
      </c>
      <c r="BR5" s="71" t="str">
        <f t="shared" si="14"/>
        <v>D:\DPL\ISA3\Example Implementations\NASA Tool Wear\01) N_studies_with_1_assay_each\Data_mill\Case_07\Settings\DOC\Case_07_time_run_08.csv</v>
      </c>
      <c r="BS5" s="71" t="str">
        <f t="shared" si="14"/>
        <v>D:\DPL\ISA3\Example Implementations\NASA Tool Wear\01) N_studies_with_1_assay_each\Data_mill\Case_08\Settings\DOC\Case_08_time_run_01.csv</v>
      </c>
      <c r="BT5" s="71" t="str">
        <f t="shared" si="14"/>
        <v>D:\DPL\ISA3\Example Implementations\NASA Tool Wear\01) N_studies_with_1_assay_each\Data_mill\Case_08\Settings\DOC\Case_08_time_run_02.csv</v>
      </c>
      <c r="BU5" s="71" t="str">
        <f t="shared" si="14"/>
        <v>D:\DPL\ISA3\Example Implementations\NASA Tool Wear\01) N_studies_with_1_assay_each\Data_mill\Case_08\Settings\DOC\Case_08_time_run_03.csv</v>
      </c>
      <c r="BV5" s="71" t="str">
        <f t="shared" si="14"/>
        <v>D:\DPL\ISA3\Example Implementations\NASA Tool Wear\01) N_studies_with_1_assay_each\Data_mill\Case_08\Settings\DOC\Case_08_time_run_04.csv</v>
      </c>
      <c r="BW5" s="71" t="str">
        <f t="shared" si="14"/>
        <v>D:\DPL\ISA3\Example Implementations\NASA Tool Wear\01) N_studies_with_1_assay_each\Data_mill\Case_08\Settings\DOC\Case_08_time_run_05.csv</v>
      </c>
      <c r="BX5" s="71" t="str">
        <f t="shared" si="14"/>
        <v>D:\DPL\ISA3\Example Implementations\NASA Tool Wear\01) N_studies_with_1_assay_each\Data_mill\Case_08\Settings\DOC\Case_08_time_run_06.csv</v>
      </c>
      <c r="BY5" s="71" t="str">
        <f t="shared" si="14"/>
        <v>D:\DPL\ISA3\Example Implementations\NASA Tool Wear\01) N_studies_with_1_assay_each\Data_mill\Case_09\Settings\DOC\Case_09_time_run_01.csv</v>
      </c>
      <c r="BZ5" s="71" t="str">
        <f t="shared" si="14"/>
        <v>D:\DPL\ISA3\Example Implementations\NASA Tool Wear\01) N_studies_with_1_assay_each\Data_mill\Case_09\Settings\DOC\Case_09_time_run_02.csv</v>
      </c>
      <c r="CA5" s="71" t="str">
        <f t="shared" si="14"/>
        <v>D:\DPL\ISA3\Example Implementations\NASA Tool Wear\01) N_studies_with_1_assay_each\Data_mill\Case_09\Settings\DOC\Case_09_time_run_03.csv</v>
      </c>
      <c r="CB5" s="71" t="str">
        <f t="shared" si="14"/>
        <v>D:\DPL\ISA3\Example Implementations\NASA Tool Wear\01) N_studies_with_1_assay_each\Data_mill\Case_09\Settings\DOC\Case_09_time_run_04.csv</v>
      </c>
      <c r="CC5" s="71" t="str">
        <f t="shared" si="14"/>
        <v>D:\DPL\ISA3\Example Implementations\NASA Tool Wear\01) N_studies_with_1_assay_each\Data_mill\Case_09\Settings\DOC\Case_09_time_run_05.csv</v>
      </c>
      <c r="CD5" s="71" t="str">
        <f t="shared" si="14"/>
        <v>D:\DPL\ISA3\Example Implementations\NASA Tool Wear\01) N_studies_with_1_assay_each\Data_mill\Case_09\Settings\DOC\Case_09_time_run_06.csv</v>
      </c>
      <c r="CE5" s="71" t="str">
        <f t="shared" si="14"/>
        <v>D:\DPL\ISA3\Example Implementations\NASA Tool Wear\01) N_studies_with_1_assay_each\Data_mill\Case_09\Settings\DOC\Case_09_time_run_07.csv</v>
      </c>
      <c r="CF5" s="71" t="str">
        <f t="shared" si="14"/>
        <v>D:\DPL\ISA3\Example Implementations\NASA Tool Wear\01) N_studies_with_1_assay_each\Data_mill\Case_09\Settings\DOC\Case_09_time_run_08.csv</v>
      </c>
      <c r="CG5" s="71" t="str">
        <f t="shared" si="14"/>
        <v>D:\DPL\ISA3\Example Implementations\NASA Tool Wear\01) N_studies_with_1_assay_each\Data_mill\Case_09\Settings\DOC\Case_09_time_run_09.csv</v>
      </c>
      <c r="CH5" s="71" t="str">
        <f t="shared" si="14"/>
        <v>D:\DPL\ISA3\Example Implementations\NASA Tool Wear\01) N_studies_with_1_assay_each\Data_mill\Case_10\Settings\DOC\Case_10_time_run_01.csv</v>
      </c>
      <c r="CI5" s="71" t="str">
        <f t="shared" si="14"/>
        <v>D:\DPL\ISA3\Example Implementations\NASA Tool Wear\01) N_studies_with_1_assay_each\Data_mill\Case_10\Settings\DOC\Case_10_time_run_02.csv</v>
      </c>
      <c r="CJ5" s="71" t="str">
        <f t="shared" si="14"/>
        <v>D:\DPL\ISA3\Example Implementations\NASA Tool Wear\01) N_studies_with_1_assay_each\Data_mill\Case_10\Settings\DOC\Case_10_time_run_03.csv</v>
      </c>
      <c r="CK5" s="71" t="str">
        <f t="shared" si="14"/>
        <v>D:\DPL\ISA3\Example Implementations\NASA Tool Wear\01) N_studies_with_1_assay_each\Data_mill\Case_10\Settings\DOC\Case_10_time_run_04.csv</v>
      </c>
      <c r="CL5" s="71" t="str">
        <f t="shared" si="14"/>
        <v>D:\DPL\ISA3\Example Implementations\NASA Tool Wear\01) N_studies_with_1_assay_each\Data_mill\Case_10\Settings\DOC\Case_10_time_run_05.csv</v>
      </c>
      <c r="CM5" s="71" t="str">
        <f t="shared" si="14"/>
        <v>D:\DPL\ISA3\Example Implementations\NASA Tool Wear\01) N_studies_with_1_assay_each\Data_mill\Case_10\Settings\DOC\Case_10_time_run_06.csv</v>
      </c>
      <c r="CN5" s="71" t="str">
        <f t="shared" si="14"/>
        <v>D:\DPL\ISA3\Example Implementations\NASA Tool Wear\01) N_studies_with_1_assay_each\Data_mill\Case_10\Settings\DOC\Case_10_time_run_07.csv</v>
      </c>
      <c r="CO5" s="71" t="str">
        <f t="shared" si="14"/>
        <v>D:\DPL\ISA3\Example Implementations\NASA Tool Wear\01) N_studies_with_1_assay_each\Data_mill\Case_10\Settings\DOC\Case_10_time_run_08.csv</v>
      </c>
      <c r="CP5" s="71" t="str">
        <f t="shared" si="14"/>
        <v>D:\DPL\ISA3\Example Implementations\NASA Tool Wear\01) N_studies_with_1_assay_each\Data_mill\Case_10\Settings\DOC\Case_10_time_run_09.csv</v>
      </c>
      <c r="CQ5" s="71" t="str">
        <f t="shared" si="14"/>
        <v>D:\DPL\ISA3\Example Implementations\NASA Tool Wear\01) N_studies_with_1_assay_each\Data_mill\Case_10\Settings\DOC\Case_10_time_run_10.csv</v>
      </c>
      <c r="CR5" s="71" t="str">
        <f t="shared" si="14"/>
        <v>D:\DPL\ISA3\Example Implementations\NASA Tool Wear\01) N_studies_with_1_assay_each\Data_mill\Case_11\Settings\DOC\Case_11_time_run_01.csv</v>
      </c>
      <c r="CS5" s="71" t="str">
        <f t="shared" si="14"/>
        <v>D:\DPL\ISA3\Example Implementations\NASA Tool Wear\01) N_studies_with_1_assay_each\Data_mill\Case_11\Settings\DOC\Case_11_time_run_02.csv</v>
      </c>
      <c r="CT5" s="71" t="str">
        <f t="shared" si="14"/>
        <v>D:\DPL\ISA3\Example Implementations\NASA Tool Wear\01) N_studies_with_1_assay_each\Data_mill\Case_11\Settings\DOC\Case_11_time_run_03.csv</v>
      </c>
      <c r="CU5" s="71" t="str">
        <f t="shared" si="14"/>
        <v>D:\DPL\ISA3\Example Implementations\NASA Tool Wear\01) N_studies_with_1_assay_each\Data_mill\Case_11\Settings\DOC\Case_11_time_run_04.csv</v>
      </c>
      <c r="CV5" s="71" t="str">
        <f t="shared" ref="CV5:EC5" si="15">"D:\DPL\ISA3\Example Implementations\NASA Tool Wear\01) N_studies_with_1_assay_each\Data_mill\Case_"&amp;_xlfn.TEXTAFTER(CV$1,"s")&amp;"\Settings\DOC\Case_"&amp;_xlfn.TEXTAFTER(CV$1,"s")&amp;"_time_run_"&amp;_xlfn.TEXTAFTER(CV$2,"Run ")&amp;".csv"</f>
        <v>D:\DPL\ISA3\Example Implementations\NASA Tool Wear\01) N_studies_with_1_assay_each\Data_mill\Case_11\Settings\DOC\Case_11_time_run_05.csv</v>
      </c>
      <c r="CW5" s="71" t="str">
        <f t="shared" si="15"/>
        <v>D:\DPL\ISA3\Example Implementations\NASA Tool Wear\01) N_studies_with_1_assay_each\Data_mill\Case_11\Settings\DOC\Case_11_time_run_06.csv</v>
      </c>
      <c r="CX5" s="71" t="str">
        <f t="shared" si="15"/>
        <v>D:\DPL\ISA3\Example Implementations\NASA Tool Wear\01) N_studies_with_1_assay_each\Data_mill\Case_11\Settings\DOC\Case_11_time_run_07.csv</v>
      </c>
      <c r="CY5" s="71" t="str">
        <f t="shared" si="15"/>
        <v>D:\DPL\ISA3\Example Implementations\NASA Tool Wear\01) N_studies_with_1_assay_each\Data_mill\Case_11\Settings\DOC\Case_11_time_run_08.csv</v>
      </c>
      <c r="CZ5" s="71" t="str">
        <f t="shared" si="15"/>
        <v>D:\DPL\ISA3\Example Implementations\NASA Tool Wear\01) N_studies_with_1_assay_each\Data_mill\Case_11\Settings\DOC\Case_11_time_run_09.csv</v>
      </c>
      <c r="DA5" s="71" t="str">
        <f t="shared" si="15"/>
        <v>D:\DPL\ISA3\Example Implementations\NASA Tool Wear\01) N_studies_with_1_assay_each\Data_mill\Case_11\Settings\DOC\Case_11_time_run_10.csv</v>
      </c>
      <c r="DB5" s="71" t="str">
        <f t="shared" si="15"/>
        <v>D:\DPL\ISA3\Example Implementations\NASA Tool Wear\01) N_studies_with_1_assay_each\Data_mill\Case_11\Settings\DOC\Case_11_time_run_11.csv</v>
      </c>
      <c r="DC5" s="71" t="str">
        <f t="shared" si="15"/>
        <v>D:\DPL\ISA3\Example Implementations\NASA Tool Wear\01) N_studies_with_1_assay_each\Data_mill\Case_11\Settings\DOC\Case_11_time_run_12.csv</v>
      </c>
      <c r="DD5" s="71" t="str">
        <f t="shared" si="15"/>
        <v>D:\DPL\ISA3\Example Implementations\NASA Tool Wear\01) N_studies_with_1_assay_each\Data_mill\Case_11\Settings\DOC\Case_11_time_run_13.csv</v>
      </c>
      <c r="DE5" s="71" t="str">
        <f t="shared" si="15"/>
        <v>D:\DPL\ISA3\Example Implementations\NASA Tool Wear\01) N_studies_with_1_assay_each\Data_mill\Case_11\Settings\DOC\Case_11_time_run_14.csv</v>
      </c>
      <c r="DF5" s="71" t="str">
        <f t="shared" si="15"/>
        <v>D:\DPL\ISA3\Example Implementations\NASA Tool Wear\01) N_studies_with_1_assay_each\Data_mill\Case_11\Settings\DOC\Case_11_time_run_15.csv</v>
      </c>
      <c r="DG5" s="71" t="str">
        <f t="shared" si="15"/>
        <v>D:\DPL\ISA3\Example Implementations\NASA Tool Wear\01) N_studies_with_1_assay_each\Data_mill\Case_11\Settings\DOC\Case_11_time_run_16.csv</v>
      </c>
      <c r="DH5" s="71" t="str">
        <f t="shared" si="15"/>
        <v>D:\DPL\ISA3\Example Implementations\NASA Tool Wear\01) N_studies_with_1_assay_each\Data_mill\Case_11\Settings\DOC\Case_11_time_run_17.csv</v>
      </c>
      <c r="DI5" s="71" t="str">
        <f t="shared" si="15"/>
        <v>D:\DPL\ISA3\Example Implementations\NASA Tool Wear\01) N_studies_with_1_assay_each\Data_mill\Case_11\Settings\DOC\Case_11_time_run_18.csv</v>
      </c>
      <c r="DJ5" s="71" t="str">
        <f t="shared" si="15"/>
        <v>D:\DPL\ISA3\Example Implementations\NASA Tool Wear\01) N_studies_with_1_assay_each\Data_mill\Case_11\Settings\DOC\Case_11_time_run_19.csv</v>
      </c>
      <c r="DK5" s="71" t="str">
        <f t="shared" si="15"/>
        <v>D:\DPL\ISA3\Example Implementations\NASA Tool Wear\01) N_studies_with_1_assay_each\Data_mill\Case_11\Settings\DOC\Case_11_time_run_20.csv</v>
      </c>
      <c r="DL5" s="71" t="str">
        <f t="shared" si="15"/>
        <v>D:\DPL\ISA3\Example Implementations\NASA Tool Wear\01) N_studies_with_1_assay_each\Data_mill\Case_11\Settings\DOC\Case_11_time_run_21.csv</v>
      </c>
      <c r="DM5" s="71" t="str">
        <f t="shared" si="15"/>
        <v>D:\DPL\ISA3\Example Implementations\NASA Tool Wear\01) N_studies_with_1_assay_each\Data_mill\Case_11\Settings\DOC\Case_11_time_run_22.csv</v>
      </c>
      <c r="DN5" s="71" t="str">
        <f t="shared" si="15"/>
        <v>D:\DPL\ISA3\Example Implementations\NASA Tool Wear\01) N_studies_with_1_assay_each\Data_mill\Case_11\Settings\DOC\Case_11_time_run_23.csv</v>
      </c>
      <c r="DO5" s="71" t="str">
        <f t="shared" si="15"/>
        <v>D:\DPL\ISA3\Example Implementations\NASA Tool Wear\01) N_studies_with_1_assay_each\Data_mill\Case_12\Settings\DOC\Case_12_time_run_01.csv</v>
      </c>
      <c r="DP5" s="71" t="str">
        <f t="shared" si="15"/>
        <v>D:\DPL\ISA3\Example Implementations\NASA Tool Wear\01) N_studies_with_1_assay_each\Data_mill\Case_12\Settings\DOC\Case_12_time_run_02.csv</v>
      </c>
      <c r="DQ5" s="71" t="str">
        <f t="shared" si="15"/>
        <v>D:\DPL\ISA3\Example Implementations\NASA Tool Wear\01) N_studies_with_1_assay_each\Data_mill\Case_12\Settings\DOC\Case_12_time_run_03.csv</v>
      </c>
      <c r="DR5" s="71" t="str">
        <f t="shared" si="15"/>
        <v>D:\DPL\ISA3\Example Implementations\NASA Tool Wear\01) N_studies_with_1_assay_each\Data_mill\Case_12\Settings\DOC\Case_12_time_run_04.csv</v>
      </c>
      <c r="DS5" s="71" t="str">
        <f t="shared" si="15"/>
        <v>D:\DPL\ISA3\Example Implementations\NASA Tool Wear\01) N_studies_with_1_assay_each\Data_mill\Case_12\Settings\DOC\Case_12_time_run_05.csv</v>
      </c>
      <c r="DT5" s="71" t="str">
        <f t="shared" si="15"/>
        <v>D:\DPL\ISA3\Example Implementations\NASA Tool Wear\01) N_studies_with_1_assay_each\Data_mill\Case_12\Settings\DOC\Case_12_time_run_06.csv</v>
      </c>
      <c r="DU5" s="71" t="str">
        <f t="shared" si="15"/>
        <v>D:\DPL\ISA3\Example Implementations\NASA Tool Wear\01) N_studies_with_1_assay_each\Data_mill\Case_12\Settings\DOC\Case_12_time_run_07.csv</v>
      </c>
      <c r="DV5" s="71" t="str">
        <f t="shared" si="15"/>
        <v>D:\DPL\ISA3\Example Implementations\NASA Tool Wear\01) N_studies_with_1_assay_each\Data_mill\Case_12\Settings\DOC\Case_12_time_run_08.csv</v>
      </c>
      <c r="DW5" s="71" t="str">
        <f t="shared" si="15"/>
        <v>D:\DPL\ISA3\Example Implementations\NASA Tool Wear\01) N_studies_with_1_assay_each\Data_mill\Case_12\Settings\DOC\Case_12_time_run_09.csv</v>
      </c>
      <c r="DX5" s="71" t="str">
        <f t="shared" si="15"/>
        <v>D:\DPL\ISA3\Example Implementations\NASA Tool Wear\01) N_studies_with_1_assay_each\Data_mill\Case_12\Settings\DOC\Case_12_time_run_10.csv</v>
      </c>
      <c r="DY5" s="71" t="str">
        <f t="shared" si="15"/>
        <v>D:\DPL\ISA3\Example Implementations\NASA Tool Wear\01) N_studies_with_1_assay_each\Data_mill\Case_12\Settings\DOC\Case_12_time_run_11.csv</v>
      </c>
      <c r="DZ5" s="71" t="str">
        <f t="shared" si="15"/>
        <v>D:\DPL\ISA3\Example Implementations\NASA Tool Wear\01) N_studies_with_1_assay_each\Data_mill\Case_12\Settings\DOC\Case_12_time_run_12.csv</v>
      </c>
      <c r="EA5" s="71" t="str">
        <f t="shared" si="15"/>
        <v>D:\DPL\ISA3\Example Implementations\NASA Tool Wear\01) N_studies_with_1_assay_each\Data_mill\Case_12\Settings\DOC\Case_12_time_run_13.csv</v>
      </c>
      <c r="EB5" s="71" t="str">
        <f t="shared" si="15"/>
        <v>D:\DPL\ISA3\Example Implementations\NASA Tool Wear\01) N_studies_with_1_assay_each\Data_mill\Case_12\Settings\DOC\Case_12_time_run_14.csv</v>
      </c>
      <c r="EC5" s="71" t="str">
        <f t="shared" si="15"/>
        <v>D:\DPL\ISA3\Example Implementations\NASA Tool Wear\01) N_studies_with_1_assay_each\Data_mill\Case_12\Settings\DOC\Case_12_time_run_15.csv</v>
      </c>
      <c r="ED5" s="71" t="str">
        <f t="shared" ref="ED5:ER5" si="16">"D:\DPL\ISA3\Example Implementations\NASA Tool Wear\01) N_studies_with_1_assay_each\Data_mill\Case_"&amp;_xlfn.TEXTAFTER(ED$1,"s")&amp;"\Settings\DOC\Case_"&amp;_xlfn.TEXTAFTER(ED$1,"s")&amp;"_time_run_"&amp;_xlfn.TEXTAFTER(ED$2,"Run ")&amp;".csv"</f>
        <v>D:\DPL\ISA3\Example Implementations\NASA Tool Wear\01) N_studies_with_1_assay_each\Data_mill\Case_13\Settings\DOC\Case_13_time_run_01.csv</v>
      </c>
      <c r="EE5" s="71" t="str">
        <f t="shared" si="16"/>
        <v>D:\DPL\ISA3\Example Implementations\NASA Tool Wear\01) N_studies_with_1_assay_each\Data_mill\Case_13\Settings\DOC\Case_13_time_run_02.csv</v>
      </c>
      <c r="EF5" s="71" t="str">
        <f t="shared" si="16"/>
        <v>D:\DPL\ISA3\Example Implementations\NASA Tool Wear\01) N_studies_with_1_assay_each\Data_mill\Case_13\Settings\DOC\Case_13_time_run_03.csv</v>
      </c>
      <c r="EG5" s="71" t="str">
        <f t="shared" si="16"/>
        <v>D:\DPL\ISA3\Example Implementations\NASA Tool Wear\01) N_studies_with_1_assay_each\Data_mill\Case_13\Settings\DOC\Case_13_time_run_04.csv</v>
      </c>
      <c r="EH5" s="71" t="str">
        <f t="shared" si="16"/>
        <v>D:\DPL\ISA3\Example Implementations\NASA Tool Wear\01) N_studies_with_1_assay_each\Data_mill\Case_13\Settings\DOC\Case_13_time_run_05.csv</v>
      </c>
      <c r="EI5" s="71" t="str">
        <f t="shared" si="16"/>
        <v>D:\DPL\ISA3\Example Implementations\NASA Tool Wear\01) N_studies_with_1_assay_each\Data_mill\Case_13\Settings\DOC\Case_13_time_run_06.csv</v>
      </c>
      <c r="EJ5" s="71" t="str">
        <f t="shared" si="16"/>
        <v>D:\DPL\ISA3\Example Implementations\NASA Tool Wear\01) N_studies_with_1_assay_each\Data_mill\Case_13\Settings\DOC\Case_13_time_run_07.csv</v>
      </c>
      <c r="EK5" s="71" t="str">
        <f t="shared" si="16"/>
        <v>D:\DPL\ISA3\Example Implementations\NASA Tool Wear\01) N_studies_with_1_assay_each\Data_mill\Case_13\Settings\DOC\Case_13_time_run_08.csv</v>
      </c>
      <c r="EL5" s="71" t="str">
        <f t="shared" si="16"/>
        <v>D:\DPL\ISA3\Example Implementations\NASA Tool Wear\01) N_studies_with_1_assay_each\Data_mill\Case_13\Settings\DOC\Case_13_time_run_09.csv</v>
      </c>
      <c r="EM5" s="71" t="str">
        <f t="shared" si="16"/>
        <v>D:\DPL\ISA3\Example Implementations\NASA Tool Wear\01) N_studies_with_1_assay_each\Data_mill\Case_13\Settings\DOC\Case_13_time_run_10.csv</v>
      </c>
      <c r="EN5" s="71" t="str">
        <f t="shared" si="16"/>
        <v>D:\DPL\ISA3\Example Implementations\NASA Tool Wear\01) N_studies_with_1_assay_each\Data_mill\Case_13\Settings\DOC\Case_13_time_run_11.csv</v>
      </c>
      <c r="EO5" s="71" t="str">
        <f t="shared" si="16"/>
        <v>D:\DPL\ISA3\Example Implementations\NASA Tool Wear\01) N_studies_with_1_assay_each\Data_mill\Case_13\Settings\DOC\Case_13_time_run_12.csv</v>
      </c>
      <c r="EP5" s="71" t="str">
        <f t="shared" si="16"/>
        <v>D:\DPL\ISA3\Example Implementations\NASA Tool Wear\01) N_studies_with_1_assay_each\Data_mill\Case_13\Settings\DOC\Case_13_time_run_13.csv</v>
      </c>
      <c r="EQ5" s="71" t="str">
        <f t="shared" si="16"/>
        <v>D:\DPL\ISA3\Example Implementations\NASA Tool Wear\01) N_studies_with_1_assay_each\Data_mill\Case_13\Settings\DOC\Case_13_time_run_14.csv</v>
      </c>
      <c r="ER5" s="71" t="str">
        <f t="shared" si="16"/>
        <v>D:\DPL\ISA3\Example Implementations\NASA Tool Wear\01) N_studies_with_1_assay_each\Data_mill\Case_13\Settings\DOC\Case_13_time_run_15.csv</v>
      </c>
      <c r="ES5" s="71" t="str">
        <f t="shared" ref="ES5:FM5" si="17">"D:\DPL\ISA3\Example Implementations\NASA Tool Wear\01) N_studies_with_1_assay_each\Data_mill\Case_"&amp;_xlfn.TEXTAFTER(ES$1,"s")&amp;"\Settings\DOC\Case_"&amp;_xlfn.TEXTAFTER(ES$1,"s")&amp;"_time_run_"&amp;_xlfn.TEXTAFTER(ES$2,"Run ")&amp;".csv"</f>
        <v>D:\DPL\ISA3\Example Implementations\NASA Tool Wear\01) N_studies_with_1_assay_each\Data_mill\Case_14\Settings\DOC\Case_14_time_run_01.csv</v>
      </c>
      <c r="ET5" s="71" t="str">
        <f t="shared" si="17"/>
        <v>D:\DPL\ISA3\Example Implementations\NASA Tool Wear\01) N_studies_with_1_assay_each\Data_mill\Case_14\Settings\DOC\Case_14_time_run_02.csv</v>
      </c>
      <c r="EU5" s="71" t="str">
        <f t="shared" si="17"/>
        <v>D:\DPL\ISA3\Example Implementations\NASA Tool Wear\01) N_studies_with_1_assay_each\Data_mill\Case_14\Settings\DOC\Case_14_time_run_03.csv</v>
      </c>
      <c r="EV5" s="71" t="str">
        <f t="shared" si="17"/>
        <v>D:\DPL\ISA3\Example Implementations\NASA Tool Wear\01) N_studies_with_1_assay_each\Data_mill\Case_14\Settings\DOC\Case_14_time_run_04.csv</v>
      </c>
      <c r="EW5" s="71" t="str">
        <f t="shared" si="17"/>
        <v>D:\DPL\ISA3\Example Implementations\NASA Tool Wear\01) N_studies_with_1_assay_each\Data_mill\Case_14\Settings\DOC\Case_14_time_run_05.csv</v>
      </c>
      <c r="EX5" s="71" t="str">
        <f t="shared" si="17"/>
        <v>D:\DPL\ISA3\Example Implementations\NASA Tool Wear\01) N_studies_with_1_assay_each\Data_mill\Case_14\Settings\DOC\Case_14_time_run_06.csv</v>
      </c>
      <c r="EY5" s="71" t="str">
        <f t="shared" si="17"/>
        <v>D:\DPL\ISA3\Example Implementations\NASA Tool Wear\01) N_studies_with_1_assay_each\Data_mill\Case_14\Settings\DOC\Case_14_time_run_07.csv</v>
      </c>
      <c r="EZ5" s="71" t="str">
        <f t="shared" si="17"/>
        <v>D:\DPL\ISA3\Example Implementations\NASA Tool Wear\01) N_studies_with_1_assay_each\Data_mill\Case_14\Settings\DOC\Case_14_time_run_08.csv</v>
      </c>
      <c r="FA5" s="71" t="str">
        <f t="shared" si="17"/>
        <v>D:\DPL\ISA3\Example Implementations\NASA Tool Wear\01) N_studies_with_1_assay_each\Data_mill\Case_14\Settings\DOC\Case_14_time_run_09.csv</v>
      </c>
      <c r="FB5" s="71" t="str">
        <f t="shared" si="17"/>
        <v>D:\DPL\ISA3\Example Implementations\NASA Tool Wear\01) N_studies_with_1_assay_each\Data_mill\Case_15\Settings\DOC\Case_15_time_run_01.csv</v>
      </c>
      <c r="FC5" s="71" t="str">
        <f t="shared" si="17"/>
        <v>D:\DPL\ISA3\Example Implementations\NASA Tool Wear\01) N_studies_with_1_assay_each\Data_mill\Case_15\Settings\DOC\Case_15_time_run_02.csv</v>
      </c>
      <c r="FD5" s="71" t="str">
        <f t="shared" si="17"/>
        <v>D:\DPL\ISA3\Example Implementations\NASA Tool Wear\01) N_studies_with_1_assay_each\Data_mill\Case_15\Settings\DOC\Case_15_time_run_03.csv</v>
      </c>
      <c r="FE5" s="71" t="str">
        <f t="shared" si="17"/>
        <v>D:\DPL\ISA3\Example Implementations\NASA Tool Wear\01) N_studies_with_1_assay_each\Data_mill\Case_15\Settings\DOC\Case_15_time_run_04.csv</v>
      </c>
      <c r="FF5" s="71" t="str">
        <f t="shared" si="17"/>
        <v>D:\DPL\ISA3\Example Implementations\NASA Tool Wear\01) N_studies_with_1_assay_each\Data_mill\Case_15\Settings\DOC\Case_15_time_run_05.csv</v>
      </c>
      <c r="FG5" s="71" t="str">
        <f t="shared" si="17"/>
        <v>D:\DPL\ISA3\Example Implementations\NASA Tool Wear\01) N_studies_with_1_assay_each\Data_mill\Case_15\Settings\DOC\Case_15_time_run_06.csv</v>
      </c>
      <c r="FH5" s="71" t="str">
        <f t="shared" si="17"/>
        <v>D:\DPL\ISA3\Example Implementations\NASA Tool Wear\01) N_studies_with_1_assay_each\Data_mill\Case_16\Settings\DOC\Case_16_time_run_01.csv</v>
      </c>
      <c r="FI5" s="71" t="str">
        <f t="shared" si="17"/>
        <v>D:\DPL\ISA3\Example Implementations\NASA Tool Wear\01) N_studies_with_1_assay_each\Data_mill\Case_16\Settings\DOC\Case_16_time_run_02.csv</v>
      </c>
      <c r="FJ5" s="71" t="str">
        <f t="shared" si="17"/>
        <v>D:\DPL\ISA3\Example Implementations\NASA Tool Wear\01) N_studies_with_1_assay_each\Data_mill\Case_16\Settings\DOC\Case_16_time_run_03.csv</v>
      </c>
      <c r="FK5" s="71" t="str">
        <f t="shared" si="17"/>
        <v>D:\DPL\ISA3\Example Implementations\NASA Tool Wear\01) N_studies_with_1_assay_each\Data_mill\Case_16\Settings\DOC\Case_16_time_run_04.csv</v>
      </c>
      <c r="FL5" s="71" t="str">
        <f t="shared" si="17"/>
        <v>D:\DPL\ISA3\Example Implementations\NASA Tool Wear\01) N_studies_with_1_assay_each\Data_mill\Case_16\Settings\DOC\Case_16_time_run_05.csv</v>
      </c>
      <c r="FM5" s="71" t="str">
        <f t="shared" si="17"/>
        <v>D:\DPL\ISA3\Example Implementations\NASA Tool Wear\01) N_studies_with_1_assay_each\Data_mill\Case_16\Settings\DOC\Case_16_time_run_06.csv</v>
      </c>
      <c r="FN5" s="71"/>
    </row>
    <row r="6" spans="1:175" x14ac:dyDescent="0.3">
      <c r="A6" t="s">
        <v>127</v>
      </c>
      <c r="B6" t="s">
        <v>20</v>
      </c>
      <c r="C6" s="16" t="s">
        <v>131</v>
      </c>
      <c r="D6" t="str">
        <f t="shared" ref="D6:AI6" si="18">"D:\DPL\ISA3\Example Implementations\NASA Tool Wear\01) N_studies_with_1_assay_each\Data_mill\Case_"&amp;_xlfn.TEXTAFTER(D$1,"s")&amp;"\Settings\feed\Case_"&amp;_xlfn.TEXTAFTER(D$1,"s")&amp;"_time_run_"&amp;_xlfn.TEXTAFTER(D$2,"Run ")&amp;".csv"</f>
        <v>D:\DPL\ISA3\Example Implementations\NASA Tool Wear\01) N_studies_with_1_assay_each\Data_mill\Case_01\Settings\feed\Case_01_time_run_01.csv</v>
      </c>
      <c r="E6" s="71" t="str">
        <f t="shared" si="18"/>
        <v>D:\DPL\ISA3\Example Implementations\NASA Tool Wear\01) N_studies_with_1_assay_each\Data_mill\Case_01\Settings\feed\Case_01_time_run_02.csv</v>
      </c>
      <c r="F6" s="71" t="str">
        <f t="shared" si="18"/>
        <v>D:\DPL\ISA3\Example Implementations\NASA Tool Wear\01) N_studies_with_1_assay_each\Data_mill\Case_01\Settings\feed\Case_01_time_run_03.csv</v>
      </c>
      <c r="G6" s="71" t="str">
        <f t="shared" si="18"/>
        <v>D:\DPL\ISA3\Example Implementations\NASA Tool Wear\01) N_studies_with_1_assay_each\Data_mill\Case_01\Settings\feed\Case_01_time_run_04.csv</v>
      </c>
      <c r="H6" s="71" t="str">
        <f t="shared" si="18"/>
        <v>D:\DPL\ISA3\Example Implementations\NASA Tool Wear\01) N_studies_with_1_assay_each\Data_mill\Case_01\Settings\feed\Case_01_time_run_05.csv</v>
      </c>
      <c r="I6" s="71" t="str">
        <f t="shared" si="18"/>
        <v>D:\DPL\ISA3\Example Implementations\NASA Tool Wear\01) N_studies_with_1_assay_each\Data_mill\Case_01\Settings\feed\Case_01_time_run_06.csv</v>
      </c>
      <c r="J6" s="71" t="str">
        <f t="shared" si="18"/>
        <v>D:\DPL\ISA3\Example Implementations\NASA Tool Wear\01) N_studies_with_1_assay_each\Data_mill\Case_01\Settings\feed\Case_01_time_run_07.csv</v>
      </c>
      <c r="K6" s="71" t="str">
        <f t="shared" si="18"/>
        <v>D:\DPL\ISA3\Example Implementations\NASA Tool Wear\01) N_studies_with_1_assay_each\Data_mill\Case_01\Settings\feed\Case_01_time_run_08.csv</v>
      </c>
      <c r="L6" s="71" t="str">
        <f t="shared" si="18"/>
        <v>D:\DPL\ISA3\Example Implementations\NASA Tool Wear\01) N_studies_with_1_assay_each\Data_mill\Case_01\Settings\feed\Case_01_time_run_09.csv</v>
      </c>
      <c r="M6" s="71" t="str">
        <f t="shared" si="18"/>
        <v>D:\DPL\ISA3\Example Implementations\NASA Tool Wear\01) N_studies_with_1_assay_each\Data_mill\Case_01\Settings\feed\Case_01_time_run_10.csv</v>
      </c>
      <c r="N6" s="71" t="str">
        <f t="shared" si="18"/>
        <v>D:\DPL\ISA3\Example Implementations\NASA Tool Wear\01) N_studies_with_1_assay_each\Data_mill\Case_01\Settings\feed\Case_01_time_run_11.csv</v>
      </c>
      <c r="O6" s="71" t="str">
        <f t="shared" si="18"/>
        <v>D:\DPL\ISA3\Example Implementations\NASA Tool Wear\01) N_studies_with_1_assay_each\Data_mill\Case_01\Settings\feed\Case_01_time_run_12.csv</v>
      </c>
      <c r="P6" s="71" t="str">
        <f t="shared" si="18"/>
        <v>D:\DPL\ISA3\Example Implementations\NASA Tool Wear\01) N_studies_with_1_assay_each\Data_mill\Case_01\Settings\feed\Case_01_time_run_13.csv</v>
      </c>
      <c r="Q6" s="71" t="str">
        <f t="shared" si="18"/>
        <v>D:\DPL\ISA3\Example Implementations\NASA Tool Wear\01) N_studies_with_1_assay_each\Data_mill\Case_01\Settings\feed\Case_01_time_run_14.csv</v>
      </c>
      <c r="R6" s="71" t="str">
        <f t="shared" si="18"/>
        <v>D:\DPL\ISA3\Example Implementations\NASA Tool Wear\01) N_studies_with_1_assay_each\Data_mill\Case_01\Settings\feed\Case_01_time_run_15.csv</v>
      </c>
      <c r="S6" s="71" t="str">
        <f t="shared" si="18"/>
        <v>D:\DPL\ISA3\Example Implementations\NASA Tool Wear\01) N_studies_with_1_assay_each\Data_mill\Case_01\Settings\feed\Case_01_time_run_16.csv</v>
      </c>
      <c r="T6" s="71" t="str">
        <f t="shared" si="18"/>
        <v>D:\DPL\ISA3\Example Implementations\NASA Tool Wear\01) N_studies_with_1_assay_each\Data_mill\Case_01\Settings\feed\Case_01_time_run_17.csv</v>
      </c>
      <c r="U6" s="71" t="str">
        <f t="shared" si="18"/>
        <v>D:\DPL\ISA3\Example Implementations\NASA Tool Wear\01) N_studies_with_1_assay_each\Data_mill\Case_02\Settings\feed\Case_02_time_run_01.csv</v>
      </c>
      <c r="V6" s="71" t="str">
        <f t="shared" si="18"/>
        <v>D:\DPL\ISA3\Example Implementations\NASA Tool Wear\01) N_studies_with_1_assay_each\Data_mill\Case_02\Settings\feed\Case_02_time_run_02.csv</v>
      </c>
      <c r="W6" s="71" t="str">
        <f t="shared" si="18"/>
        <v>D:\DPL\ISA3\Example Implementations\NASA Tool Wear\01) N_studies_with_1_assay_each\Data_mill\Case_02\Settings\feed\Case_02_time_run_03.csv</v>
      </c>
      <c r="X6" s="71" t="str">
        <f t="shared" si="18"/>
        <v>D:\DPL\ISA3\Example Implementations\NASA Tool Wear\01) N_studies_with_1_assay_each\Data_mill\Case_02\Settings\feed\Case_02_time_run_04.csv</v>
      </c>
      <c r="Y6" s="71" t="str">
        <f t="shared" si="18"/>
        <v>D:\DPL\ISA3\Example Implementations\NASA Tool Wear\01) N_studies_with_1_assay_each\Data_mill\Case_02\Settings\feed\Case_02_time_run_05.csv</v>
      </c>
      <c r="Z6" s="71" t="str">
        <f t="shared" si="18"/>
        <v>D:\DPL\ISA3\Example Implementations\NASA Tool Wear\01) N_studies_with_1_assay_each\Data_mill\Case_02\Settings\feed\Case_02_time_run_06.csv</v>
      </c>
      <c r="AA6" s="71" t="str">
        <f t="shared" si="18"/>
        <v>D:\DPL\ISA3\Example Implementations\NASA Tool Wear\01) N_studies_with_1_assay_each\Data_mill\Case_02\Settings\feed\Case_02_time_run_07.csv</v>
      </c>
      <c r="AB6" s="71" t="str">
        <f t="shared" si="18"/>
        <v>D:\DPL\ISA3\Example Implementations\NASA Tool Wear\01) N_studies_with_1_assay_each\Data_mill\Case_02\Settings\feed\Case_02_time_run_08.csv</v>
      </c>
      <c r="AC6" s="71" t="str">
        <f t="shared" si="18"/>
        <v>D:\DPL\ISA3\Example Implementations\NASA Tool Wear\01) N_studies_with_1_assay_each\Data_mill\Case_02\Settings\feed\Case_02_time_run_09.csv</v>
      </c>
      <c r="AD6" s="71" t="str">
        <f t="shared" si="18"/>
        <v>D:\DPL\ISA3\Example Implementations\NASA Tool Wear\01) N_studies_with_1_assay_each\Data_mill\Case_02\Settings\feed\Case_02_time_run_10.csv</v>
      </c>
      <c r="AE6" s="71" t="str">
        <f t="shared" si="18"/>
        <v>D:\DPL\ISA3\Example Implementations\NASA Tool Wear\01) N_studies_with_1_assay_each\Data_mill\Case_02\Settings\feed\Case_02_time_run_11.csv</v>
      </c>
      <c r="AF6" s="71" t="str">
        <f t="shared" si="18"/>
        <v>D:\DPL\ISA3\Example Implementations\NASA Tool Wear\01) N_studies_with_1_assay_each\Data_mill\Case_02\Settings\feed\Case_02_time_run_12.csv</v>
      </c>
      <c r="AG6" s="71" t="str">
        <f t="shared" si="18"/>
        <v>D:\DPL\ISA3\Example Implementations\NASA Tool Wear\01) N_studies_with_1_assay_each\Data_mill\Case_02\Settings\feed\Case_02_time_run_13.csv</v>
      </c>
      <c r="AH6" s="71" t="str">
        <f t="shared" si="18"/>
        <v>D:\DPL\ISA3\Example Implementations\NASA Tool Wear\01) N_studies_with_1_assay_each\Data_mill\Case_02\Settings\feed\Case_02_time_run_14.csv</v>
      </c>
      <c r="AI6" s="71" t="str">
        <f t="shared" si="18"/>
        <v>D:\DPL\ISA3\Example Implementations\NASA Tool Wear\01) N_studies_with_1_assay_each\Data_mill\Case_03\Settings\feed\Case_03_time_run_01.csv</v>
      </c>
      <c r="AJ6" s="71" t="str">
        <f t="shared" ref="AJ6:BO6" si="19">"D:\DPL\ISA3\Example Implementations\NASA Tool Wear\01) N_studies_with_1_assay_each\Data_mill\Case_"&amp;_xlfn.TEXTAFTER(AJ$1,"s")&amp;"\Settings\feed\Case_"&amp;_xlfn.TEXTAFTER(AJ$1,"s")&amp;"_time_run_"&amp;_xlfn.TEXTAFTER(AJ$2,"Run ")&amp;".csv"</f>
        <v>D:\DPL\ISA3\Example Implementations\NASA Tool Wear\01) N_studies_with_1_assay_each\Data_mill\Case_03\Settings\feed\Case_03_time_run_02.csv</v>
      </c>
      <c r="AK6" s="71" t="str">
        <f t="shared" si="19"/>
        <v>D:\DPL\ISA3\Example Implementations\NASA Tool Wear\01) N_studies_with_1_assay_each\Data_mill\Case_03\Settings\feed\Case_03_time_run_03.csv</v>
      </c>
      <c r="AL6" s="71" t="str">
        <f t="shared" si="19"/>
        <v>D:\DPL\ISA3\Example Implementations\NASA Tool Wear\01) N_studies_with_1_assay_each\Data_mill\Case_03\Settings\feed\Case_03_time_run_04.csv</v>
      </c>
      <c r="AM6" s="71" t="str">
        <f t="shared" si="19"/>
        <v>D:\DPL\ISA3\Example Implementations\NASA Tool Wear\01) N_studies_with_1_assay_each\Data_mill\Case_03\Settings\feed\Case_03_time_run_05.csv</v>
      </c>
      <c r="AN6" s="71" t="str">
        <f t="shared" si="19"/>
        <v>D:\DPL\ISA3\Example Implementations\NASA Tool Wear\01) N_studies_with_1_assay_each\Data_mill\Case_03\Settings\feed\Case_03_time_run_06.csv</v>
      </c>
      <c r="AO6" s="71" t="str">
        <f t="shared" si="19"/>
        <v>D:\DPL\ISA3\Example Implementations\NASA Tool Wear\01) N_studies_with_1_assay_each\Data_mill\Case_03\Settings\feed\Case_03_time_run_07.csv</v>
      </c>
      <c r="AP6" s="71" t="str">
        <f t="shared" si="19"/>
        <v>D:\DPL\ISA3\Example Implementations\NASA Tool Wear\01) N_studies_with_1_assay_each\Data_mill\Case_03\Settings\feed\Case_03_time_run_08.csv</v>
      </c>
      <c r="AQ6" s="71" t="str">
        <f t="shared" si="19"/>
        <v>D:\DPL\ISA3\Example Implementations\NASA Tool Wear\01) N_studies_with_1_assay_each\Data_mill\Case_03\Settings\feed\Case_03_time_run_09.csv</v>
      </c>
      <c r="AR6" s="71" t="str">
        <f t="shared" si="19"/>
        <v>D:\DPL\ISA3\Example Implementations\NASA Tool Wear\01) N_studies_with_1_assay_each\Data_mill\Case_03\Settings\feed\Case_03_time_run_10.csv</v>
      </c>
      <c r="AS6" s="71" t="str">
        <f t="shared" si="19"/>
        <v>D:\DPL\ISA3\Example Implementations\NASA Tool Wear\01) N_studies_with_1_assay_each\Data_mill\Case_03\Settings\feed\Case_03_time_run_11.csv</v>
      </c>
      <c r="AT6" s="71" t="str">
        <f t="shared" si="19"/>
        <v>D:\DPL\ISA3\Example Implementations\NASA Tool Wear\01) N_studies_with_1_assay_each\Data_mill\Case_03\Settings\feed\Case_03_time_run_12.csv</v>
      </c>
      <c r="AU6" s="71" t="str">
        <f t="shared" si="19"/>
        <v>D:\DPL\ISA3\Example Implementations\NASA Tool Wear\01) N_studies_with_1_assay_each\Data_mill\Case_03\Settings\feed\Case_03_time_run_13.csv</v>
      </c>
      <c r="AV6" s="71" t="str">
        <f t="shared" si="19"/>
        <v>D:\DPL\ISA3\Example Implementations\NASA Tool Wear\01) N_studies_with_1_assay_each\Data_mill\Case_03\Settings\feed\Case_03_time_run_14.csv</v>
      </c>
      <c r="AW6" s="71" t="str">
        <f t="shared" si="19"/>
        <v>D:\DPL\ISA3\Example Implementations\NASA Tool Wear\01) N_studies_with_1_assay_each\Data_mill\Case_04\Settings\feed\Case_04_time_run_01.csv</v>
      </c>
      <c r="AX6" s="71" t="str">
        <f t="shared" si="19"/>
        <v>D:\DPL\ISA3\Example Implementations\NASA Tool Wear\01) N_studies_with_1_assay_each\Data_mill\Case_04\Settings\feed\Case_04_time_run_02.csv</v>
      </c>
      <c r="AY6" s="71" t="str">
        <f t="shared" si="19"/>
        <v>D:\DPL\ISA3\Example Implementations\NASA Tool Wear\01) N_studies_with_1_assay_each\Data_mill\Case_04\Settings\feed\Case_04_time_run_03.csv</v>
      </c>
      <c r="AZ6" s="71" t="str">
        <f t="shared" si="19"/>
        <v>D:\DPL\ISA3\Example Implementations\NASA Tool Wear\01) N_studies_with_1_assay_each\Data_mill\Case_04\Settings\feed\Case_04_time_run_04.csv</v>
      </c>
      <c r="BA6" s="71" t="str">
        <f t="shared" si="19"/>
        <v>D:\DPL\ISA3\Example Implementations\NASA Tool Wear\01) N_studies_with_1_assay_each\Data_mill\Case_04\Settings\feed\Case_04_time_run_05.csv</v>
      </c>
      <c r="BB6" s="71" t="str">
        <f t="shared" si="19"/>
        <v>D:\DPL\ISA3\Example Implementations\NASA Tool Wear\01) N_studies_with_1_assay_each\Data_mill\Case_04\Settings\feed\Case_04_time_run_06.csv</v>
      </c>
      <c r="BC6" s="71" t="str">
        <f t="shared" si="19"/>
        <v>D:\DPL\ISA3\Example Implementations\NASA Tool Wear\01) N_studies_with_1_assay_each\Data_mill\Case_04\Settings\feed\Case_04_time_run_07.csv</v>
      </c>
      <c r="BD6" s="71" t="str">
        <f t="shared" si="19"/>
        <v>D:\DPL\ISA3\Example Implementations\NASA Tool Wear\01) N_studies_with_1_assay_each\Data_mill\Case_05\Settings\feed\Case_05_time_run_01.csv</v>
      </c>
      <c r="BE6" s="71" t="str">
        <f t="shared" si="19"/>
        <v>D:\DPL\ISA3\Example Implementations\NASA Tool Wear\01) N_studies_with_1_assay_each\Data_mill\Case_05\Settings\feed\Case_05_time_run_02.csv</v>
      </c>
      <c r="BF6" s="71" t="str">
        <f t="shared" si="19"/>
        <v>D:\DPL\ISA3\Example Implementations\NASA Tool Wear\01) N_studies_with_1_assay_each\Data_mill\Case_05\Settings\feed\Case_05_time_run_03.csv</v>
      </c>
      <c r="BG6" s="71" t="str">
        <f t="shared" si="19"/>
        <v>D:\DPL\ISA3\Example Implementations\NASA Tool Wear\01) N_studies_with_1_assay_each\Data_mill\Case_05\Settings\feed\Case_05_time_run_04.csv</v>
      </c>
      <c r="BH6" s="71" t="str">
        <f t="shared" si="19"/>
        <v>D:\DPL\ISA3\Example Implementations\NASA Tool Wear\01) N_studies_with_1_assay_each\Data_mill\Case_05\Settings\feed\Case_05_time_run_05.csv</v>
      </c>
      <c r="BI6" s="71" t="str">
        <f t="shared" si="19"/>
        <v>D:\DPL\ISA3\Example Implementations\NASA Tool Wear\01) N_studies_with_1_assay_each\Data_mill\Case_05\Settings\feed\Case_05_time_run_06.csv</v>
      </c>
      <c r="BJ6" s="71" t="str">
        <f t="shared" si="19"/>
        <v>D:\DPL\ISA3\Example Implementations\NASA Tool Wear\01) N_studies_with_1_assay_each\Data_mill\Case_06\Settings\feed\Case_06_time_run_01.csv</v>
      </c>
      <c r="BK6" s="71" t="str">
        <f t="shared" si="19"/>
        <v>D:\DPL\ISA3\Example Implementations\NASA Tool Wear\01) N_studies_with_1_assay_each\Data_mill\Case_07\Settings\feed\Case_07_time_run_01.csv</v>
      </c>
      <c r="BL6" s="71" t="str">
        <f t="shared" si="19"/>
        <v>D:\DPL\ISA3\Example Implementations\NASA Tool Wear\01) N_studies_with_1_assay_each\Data_mill\Case_07\Settings\feed\Case_07_time_run_02.csv</v>
      </c>
      <c r="BM6" s="71" t="str">
        <f t="shared" si="19"/>
        <v>D:\DPL\ISA3\Example Implementations\NASA Tool Wear\01) N_studies_with_1_assay_each\Data_mill\Case_07\Settings\feed\Case_07_time_run_03.csv</v>
      </c>
      <c r="BN6" s="71" t="str">
        <f t="shared" si="19"/>
        <v>D:\DPL\ISA3\Example Implementations\NASA Tool Wear\01) N_studies_with_1_assay_each\Data_mill\Case_07\Settings\feed\Case_07_time_run_04.csv</v>
      </c>
      <c r="BO6" s="71" t="str">
        <f t="shared" si="19"/>
        <v>D:\DPL\ISA3\Example Implementations\NASA Tool Wear\01) N_studies_with_1_assay_each\Data_mill\Case_07\Settings\feed\Case_07_time_run_05.csv</v>
      </c>
      <c r="BP6" s="71" t="str">
        <f t="shared" ref="BP6:CU6" si="20">"D:\DPL\ISA3\Example Implementations\NASA Tool Wear\01) N_studies_with_1_assay_each\Data_mill\Case_"&amp;_xlfn.TEXTAFTER(BP$1,"s")&amp;"\Settings\feed\Case_"&amp;_xlfn.TEXTAFTER(BP$1,"s")&amp;"_time_run_"&amp;_xlfn.TEXTAFTER(BP$2,"Run ")&amp;".csv"</f>
        <v>D:\DPL\ISA3\Example Implementations\NASA Tool Wear\01) N_studies_with_1_assay_each\Data_mill\Case_07\Settings\feed\Case_07_time_run_06.csv</v>
      </c>
      <c r="BQ6" s="71" t="str">
        <f t="shared" si="20"/>
        <v>D:\DPL\ISA3\Example Implementations\NASA Tool Wear\01) N_studies_with_1_assay_each\Data_mill\Case_07\Settings\feed\Case_07_time_run_07.csv</v>
      </c>
      <c r="BR6" s="71" t="str">
        <f t="shared" si="20"/>
        <v>D:\DPL\ISA3\Example Implementations\NASA Tool Wear\01) N_studies_with_1_assay_each\Data_mill\Case_07\Settings\feed\Case_07_time_run_08.csv</v>
      </c>
      <c r="BS6" s="71" t="str">
        <f t="shared" si="20"/>
        <v>D:\DPL\ISA3\Example Implementations\NASA Tool Wear\01) N_studies_with_1_assay_each\Data_mill\Case_08\Settings\feed\Case_08_time_run_01.csv</v>
      </c>
      <c r="BT6" s="71" t="str">
        <f t="shared" si="20"/>
        <v>D:\DPL\ISA3\Example Implementations\NASA Tool Wear\01) N_studies_with_1_assay_each\Data_mill\Case_08\Settings\feed\Case_08_time_run_02.csv</v>
      </c>
      <c r="BU6" s="71" t="str">
        <f t="shared" si="20"/>
        <v>D:\DPL\ISA3\Example Implementations\NASA Tool Wear\01) N_studies_with_1_assay_each\Data_mill\Case_08\Settings\feed\Case_08_time_run_03.csv</v>
      </c>
      <c r="BV6" s="71" t="str">
        <f t="shared" si="20"/>
        <v>D:\DPL\ISA3\Example Implementations\NASA Tool Wear\01) N_studies_with_1_assay_each\Data_mill\Case_08\Settings\feed\Case_08_time_run_04.csv</v>
      </c>
      <c r="BW6" s="71" t="str">
        <f t="shared" si="20"/>
        <v>D:\DPL\ISA3\Example Implementations\NASA Tool Wear\01) N_studies_with_1_assay_each\Data_mill\Case_08\Settings\feed\Case_08_time_run_05.csv</v>
      </c>
      <c r="BX6" s="71" t="str">
        <f t="shared" si="20"/>
        <v>D:\DPL\ISA3\Example Implementations\NASA Tool Wear\01) N_studies_with_1_assay_each\Data_mill\Case_08\Settings\feed\Case_08_time_run_06.csv</v>
      </c>
      <c r="BY6" s="71" t="str">
        <f t="shared" si="20"/>
        <v>D:\DPL\ISA3\Example Implementations\NASA Tool Wear\01) N_studies_with_1_assay_each\Data_mill\Case_09\Settings\feed\Case_09_time_run_01.csv</v>
      </c>
      <c r="BZ6" s="71" t="str">
        <f t="shared" si="20"/>
        <v>D:\DPL\ISA3\Example Implementations\NASA Tool Wear\01) N_studies_with_1_assay_each\Data_mill\Case_09\Settings\feed\Case_09_time_run_02.csv</v>
      </c>
      <c r="CA6" s="71" t="str">
        <f t="shared" si="20"/>
        <v>D:\DPL\ISA3\Example Implementations\NASA Tool Wear\01) N_studies_with_1_assay_each\Data_mill\Case_09\Settings\feed\Case_09_time_run_03.csv</v>
      </c>
      <c r="CB6" s="71" t="str">
        <f t="shared" si="20"/>
        <v>D:\DPL\ISA3\Example Implementations\NASA Tool Wear\01) N_studies_with_1_assay_each\Data_mill\Case_09\Settings\feed\Case_09_time_run_04.csv</v>
      </c>
      <c r="CC6" s="71" t="str">
        <f t="shared" si="20"/>
        <v>D:\DPL\ISA3\Example Implementations\NASA Tool Wear\01) N_studies_with_1_assay_each\Data_mill\Case_09\Settings\feed\Case_09_time_run_05.csv</v>
      </c>
      <c r="CD6" s="71" t="str">
        <f t="shared" si="20"/>
        <v>D:\DPL\ISA3\Example Implementations\NASA Tool Wear\01) N_studies_with_1_assay_each\Data_mill\Case_09\Settings\feed\Case_09_time_run_06.csv</v>
      </c>
      <c r="CE6" s="71" t="str">
        <f t="shared" si="20"/>
        <v>D:\DPL\ISA3\Example Implementations\NASA Tool Wear\01) N_studies_with_1_assay_each\Data_mill\Case_09\Settings\feed\Case_09_time_run_07.csv</v>
      </c>
      <c r="CF6" s="71" t="str">
        <f t="shared" si="20"/>
        <v>D:\DPL\ISA3\Example Implementations\NASA Tool Wear\01) N_studies_with_1_assay_each\Data_mill\Case_09\Settings\feed\Case_09_time_run_08.csv</v>
      </c>
      <c r="CG6" s="71" t="str">
        <f t="shared" si="20"/>
        <v>D:\DPL\ISA3\Example Implementations\NASA Tool Wear\01) N_studies_with_1_assay_each\Data_mill\Case_09\Settings\feed\Case_09_time_run_09.csv</v>
      </c>
      <c r="CH6" s="71" t="str">
        <f t="shared" si="20"/>
        <v>D:\DPL\ISA3\Example Implementations\NASA Tool Wear\01) N_studies_with_1_assay_each\Data_mill\Case_10\Settings\feed\Case_10_time_run_01.csv</v>
      </c>
      <c r="CI6" s="71" t="str">
        <f t="shared" si="20"/>
        <v>D:\DPL\ISA3\Example Implementations\NASA Tool Wear\01) N_studies_with_1_assay_each\Data_mill\Case_10\Settings\feed\Case_10_time_run_02.csv</v>
      </c>
      <c r="CJ6" s="71" t="str">
        <f t="shared" si="20"/>
        <v>D:\DPL\ISA3\Example Implementations\NASA Tool Wear\01) N_studies_with_1_assay_each\Data_mill\Case_10\Settings\feed\Case_10_time_run_03.csv</v>
      </c>
      <c r="CK6" s="71" t="str">
        <f t="shared" si="20"/>
        <v>D:\DPL\ISA3\Example Implementations\NASA Tool Wear\01) N_studies_with_1_assay_each\Data_mill\Case_10\Settings\feed\Case_10_time_run_04.csv</v>
      </c>
      <c r="CL6" s="71" t="str">
        <f t="shared" si="20"/>
        <v>D:\DPL\ISA3\Example Implementations\NASA Tool Wear\01) N_studies_with_1_assay_each\Data_mill\Case_10\Settings\feed\Case_10_time_run_05.csv</v>
      </c>
      <c r="CM6" s="71" t="str">
        <f t="shared" si="20"/>
        <v>D:\DPL\ISA3\Example Implementations\NASA Tool Wear\01) N_studies_with_1_assay_each\Data_mill\Case_10\Settings\feed\Case_10_time_run_06.csv</v>
      </c>
      <c r="CN6" s="71" t="str">
        <f t="shared" si="20"/>
        <v>D:\DPL\ISA3\Example Implementations\NASA Tool Wear\01) N_studies_with_1_assay_each\Data_mill\Case_10\Settings\feed\Case_10_time_run_07.csv</v>
      </c>
      <c r="CO6" s="71" t="str">
        <f t="shared" si="20"/>
        <v>D:\DPL\ISA3\Example Implementations\NASA Tool Wear\01) N_studies_with_1_assay_each\Data_mill\Case_10\Settings\feed\Case_10_time_run_08.csv</v>
      </c>
      <c r="CP6" s="71" t="str">
        <f t="shared" si="20"/>
        <v>D:\DPL\ISA3\Example Implementations\NASA Tool Wear\01) N_studies_with_1_assay_each\Data_mill\Case_10\Settings\feed\Case_10_time_run_09.csv</v>
      </c>
      <c r="CQ6" s="71" t="str">
        <f t="shared" si="20"/>
        <v>D:\DPL\ISA3\Example Implementations\NASA Tool Wear\01) N_studies_with_1_assay_each\Data_mill\Case_10\Settings\feed\Case_10_time_run_10.csv</v>
      </c>
      <c r="CR6" s="71" t="str">
        <f t="shared" si="20"/>
        <v>D:\DPL\ISA3\Example Implementations\NASA Tool Wear\01) N_studies_with_1_assay_each\Data_mill\Case_11\Settings\feed\Case_11_time_run_01.csv</v>
      </c>
      <c r="CS6" s="71" t="str">
        <f t="shared" si="20"/>
        <v>D:\DPL\ISA3\Example Implementations\NASA Tool Wear\01) N_studies_with_1_assay_each\Data_mill\Case_11\Settings\feed\Case_11_time_run_02.csv</v>
      </c>
      <c r="CT6" s="71" t="str">
        <f t="shared" si="20"/>
        <v>D:\DPL\ISA3\Example Implementations\NASA Tool Wear\01) N_studies_with_1_assay_each\Data_mill\Case_11\Settings\feed\Case_11_time_run_03.csv</v>
      </c>
      <c r="CU6" s="71" t="str">
        <f t="shared" si="20"/>
        <v>D:\DPL\ISA3\Example Implementations\NASA Tool Wear\01) N_studies_with_1_assay_each\Data_mill\Case_11\Settings\feed\Case_11_time_run_04.csv</v>
      </c>
      <c r="CV6" s="71" t="str">
        <f t="shared" ref="CV6:EC6" si="21">"D:\DPL\ISA3\Example Implementations\NASA Tool Wear\01) N_studies_with_1_assay_each\Data_mill\Case_"&amp;_xlfn.TEXTAFTER(CV$1,"s")&amp;"\Settings\feed\Case_"&amp;_xlfn.TEXTAFTER(CV$1,"s")&amp;"_time_run_"&amp;_xlfn.TEXTAFTER(CV$2,"Run ")&amp;".csv"</f>
        <v>D:\DPL\ISA3\Example Implementations\NASA Tool Wear\01) N_studies_with_1_assay_each\Data_mill\Case_11\Settings\feed\Case_11_time_run_05.csv</v>
      </c>
      <c r="CW6" s="71" t="str">
        <f t="shared" si="21"/>
        <v>D:\DPL\ISA3\Example Implementations\NASA Tool Wear\01) N_studies_with_1_assay_each\Data_mill\Case_11\Settings\feed\Case_11_time_run_06.csv</v>
      </c>
      <c r="CX6" s="71" t="str">
        <f t="shared" si="21"/>
        <v>D:\DPL\ISA3\Example Implementations\NASA Tool Wear\01) N_studies_with_1_assay_each\Data_mill\Case_11\Settings\feed\Case_11_time_run_07.csv</v>
      </c>
      <c r="CY6" s="71" t="str">
        <f t="shared" si="21"/>
        <v>D:\DPL\ISA3\Example Implementations\NASA Tool Wear\01) N_studies_with_1_assay_each\Data_mill\Case_11\Settings\feed\Case_11_time_run_08.csv</v>
      </c>
      <c r="CZ6" s="71" t="str">
        <f t="shared" si="21"/>
        <v>D:\DPL\ISA3\Example Implementations\NASA Tool Wear\01) N_studies_with_1_assay_each\Data_mill\Case_11\Settings\feed\Case_11_time_run_09.csv</v>
      </c>
      <c r="DA6" s="71" t="str">
        <f t="shared" si="21"/>
        <v>D:\DPL\ISA3\Example Implementations\NASA Tool Wear\01) N_studies_with_1_assay_each\Data_mill\Case_11\Settings\feed\Case_11_time_run_10.csv</v>
      </c>
      <c r="DB6" s="71" t="str">
        <f t="shared" si="21"/>
        <v>D:\DPL\ISA3\Example Implementations\NASA Tool Wear\01) N_studies_with_1_assay_each\Data_mill\Case_11\Settings\feed\Case_11_time_run_11.csv</v>
      </c>
      <c r="DC6" s="71" t="str">
        <f t="shared" si="21"/>
        <v>D:\DPL\ISA3\Example Implementations\NASA Tool Wear\01) N_studies_with_1_assay_each\Data_mill\Case_11\Settings\feed\Case_11_time_run_12.csv</v>
      </c>
      <c r="DD6" s="71" t="str">
        <f t="shared" si="21"/>
        <v>D:\DPL\ISA3\Example Implementations\NASA Tool Wear\01) N_studies_with_1_assay_each\Data_mill\Case_11\Settings\feed\Case_11_time_run_13.csv</v>
      </c>
      <c r="DE6" s="71" t="str">
        <f t="shared" si="21"/>
        <v>D:\DPL\ISA3\Example Implementations\NASA Tool Wear\01) N_studies_with_1_assay_each\Data_mill\Case_11\Settings\feed\Case_11_time_run_14.csv</v>
      </c>
      <c r="DF6" s="71" t="str">
        <f t="shared" si="21"/>
        <v>D:\DPL\ISA3\Example Implementations\NASA Tool Wear\01) N_studies_with_1_assay_each\Data_mill\Case_11\Settings\feed\Case_11_time_run_15.csv</v>
      </c>
      <c r="DG6" s="71" t="str">
        <f t="shared" si="21"/>
        <v>D:\DPL\ISA3\Example Implementations\NASA Tool Wear\01) N_studies_with_1_assay_each\Data_mill\Case_11\Settings\feed\Case_11_time_run_16.csv</v>
      </c>
      <c r="DH6" s="71" t="str">
        <f t="shared" si="21"/>
        <v>D:\DPL\ISA3\Example Implementations\NASA Tool Wear\01) N_studies_with_1_assay_each\Data_mill\Case_11\Settings\feed\Case_11_time_run_17.csv</v>
      </c>
      <c r="DI6" s="71" t="str">
        <f t="shared" si="21"/>
        <v>D:\DPL\ISA3\Example Implementations\NASA Tool Wear\01) N_studies_with_1_assay_each\Data_mill\Case_11\Settings\feed\Case_11_time_run_18.csv</v>
      </c>
      <c r="DJ6" s="71" t="str">
        <f t="shared" si="21"/>
        <v>D:\DPL\ISA3\Example Implementations\NASA Tool Wear\01) N_studies_with_1_assay_each\Data_mill\Case_11\Settings\feed\Case_11_time_run_19.csv</v>
      </c>
      <c r="DK6" s="71" t="str">
        <f t="shared" si="21"/>
        <v>D:\DPL\ISA3\Example Implementations\NASA Tool Wear\01) N_studies_with_1_assay_each\Data_mill\Case_11\Settings\feed\Case_11_time_run_20.csv</v>
      </c>
      <c r="DL6" s="71" t="str">
        <f t="shared" si="21"/>
        <v>D:\DPL\ISA3\Example Implementations\NASA Tool Wear\01) N_studies_with_1_assay_each\Data_mill\Case_11\Settings\feed\Case_11_time_run_21.csv</v>
      </c>
      <c r="DM6" s="71" t="str">
        <f t="shared" si="21"/>
        <v>D:\DPL\ISA3\Example Implementations\NASA Tool Wear\01) N_studies_with_1_assay_each\Data_mill\Case_11\Settings\feed\Case_11_time_run_22.csv</v>
      </c>
      <c r="DN6" s="71" t="str">
        <f t="shared" si="21"/>
        <v>D:\DPL\ISA3\Example Implementations\NASA Tool Wear\01) N_studies_with_1_assay_each\Data_mill\Case_11\Settings\feed\Case_11_time_run_23.csv</v>
      </c>
      <c r="DO6" s="71" t="str">
        <f t="shared" si="21"/>
        <v>D:\DPL\ISA3\Example Implementations\NASA Tool Wear\01) N_studies_with_1_assay_each\Data_mill\Case_12\Settings\feed\Case_12_time_run_01.csv</v>
      </c>
      <c r="DP6" s="71" t="str">
        <f t="shared" si="21"/>
        <v>D:\DPL\ISA3\Example Implementations\NASA Tool Wear\01) N_studies_with_1_assay_each\Data_mill\Case_12\Settings\feed\Case_12_time_run_02.csv</v>
      </c>
      <c r="DQ6" s="71" t="str">
        <f t="shared" si="21"/>
        <v>D:\DPL\ISA3\Example Implementations\NASA Tool Wear\01) N_studies_with_1_assay_each\Data_mill\Case_12\Settings\feed\Case_12_time_run_03.csv</v>
      </c>
      <c r="DR6" s="71" t="str">
        <f t="shared" si="21"/>
        <v>D:\DPL\ISA3\Example Implementations\NASA Tool Wear\01) N_studies_with_1_assay_each\Data_mill\Case_12\Settings\feed\Case_12_time_run_04.csv</v>
      </c>
      <c r="DS6" s="71" t="str">
        <f t="shared" si="21"/>
        <v>D:\DPL\ISA3\Example Implementations\NASA Tool Wear\01) N_studies_with_1_assay_each\Data_mill\Case_12\Settings\feed\Case_12_time_run_05.csv</v>
      </c>
      <c r="DT6" s="71" t="str">
        <f t="shared" si="21"/>
        <v>D:\DPL\ISA3\Example Implementations\NASA Tool Wear\01) N_studies_with_1_assay_each\Data_mill\Case_12\Settings\feed\Case_12_time_run_06.csv</v>
      </c>
      <c r="DU6" s="71" t="str">
        <f t="shared" si="21"/>
        <v>D:\DPL\ISA3\Example Implementations\NASA Tool Wear\01) N_studies_with_1_assay_each\Data_mill\Case_12\Settings\feed\Case_12_time_run_07.csv</v>
      </c>
      <c r="DV6" s="71" t="str">
        <f t="shared" si="21"/>
        <v>D:\DPL\ISA3\Example Implementations\NASA Tool Wear\01) N_studies_with_1_assay_each\Data_mill\Case_12\Settings\feed\Case_12_time_run_08.csv</v>
      </c>
      <c r="DW6" s="71" t="str">
        <f t="shared" si="21"/>
        <v>D:\DPL\ISA3\Example Implementations\NASA Tool Wear\01) N_studies_with_1_assay_each\Data_mill\Case_12\Settings\feed\Case_12_time_run_09.csv</v>
      </c>
      <c r="DX6" s="71" t="str">
        <f t="shared" si="21"/>
        <v>D:\DPL\ISA3\Example Implementations\NASA Tool Wear\01) N_studies_with_1_assay_each\Data_mill\Case_12\Settings\feed\Case_12_time_run_10.csv</v>
      </c>
      <c r="DY6" s="71" t="str">
        <f t="shared" si="21"/>
        <v>D:\DPL\ISA3\Example Implementations\NASA Tool Wear\01) N_studies_with_1_assay_each\Data_mill\Case_12\Settings\feed\Case_12_time_run_11.csv</v>
      </c>
      <c r="DZ6" s="71" t="str">
        <f t="shared" si="21"/>
        <v>D:\DPL\ISA3\Example Implementations\NASA Tool Wear\01) N_studies_with_1_assay_each\Data_mill\Case_12\Settings\feed\Case_12_time_run_12.csv</v>
      </c>
      <c r="EA6" s="71" t="str">
        <f t="shared" si="21"/>
        <v>D:\DPL\ISA3\Example Implementations\NASA Tool Wear\01) N_studies_with_1_assay_each\Data_mill\Case_12\Settings\feed\Case_12_time_run_13.csv</v>
      </c>
      <c r="EB6" s="71" t="str">
        <f t="shared" si="21"/>
        <v>D:\DPL\ISA3\Example Implementations\NASA Tool Wear\01) N_studies_with_1_assay_each\Data_mill\Case_12\Settings\feed\Case_12_time_run_14.csv</v>
      </c>
      <c r="EC6" s="71" t="str">
        <f t="shared" si="21"/>
        <v>D:\DPL\ISA3\Example Implementations\NASA Tool Wear\01) N_studies_with_1_assay_each\Data_mill\Case_12\Settings\feed\Case_12_time_run_15.csv</v>
      </c>
      <c r="ED6" s="71" t="str">
        <f t="shared" ref="ED6:ER6" si="22">"D:\DPL\ISA3\Example Implementations\NASA Tool Wear\01) N_studies_with_1_assay_each\Data_mill\Case_"&amp;_xlfn.TEXTAFTER(ED$1,"s")&amp;"\Settings\feed\Case_"&amp;_xlfn.TEXTAFTER(ED$1,"s")&amp;"_time_run_"&amp;_xlfn.TEXTAFTER(ED$2,"Run ")&amp;".csv"</f>
        <v>D:\DPL\ISA3\Example Implementations\NASA Tool Wear\01) N_studies_with_1_assay_each\Data_mill\Case_13\Settings\feed\Case_13_time_run_01.csv</v>
      </c>
      <c r="EE6" s="71" t="str">
        <f t="shared" si="22"/>
        <v>D:\DPL\ISA3\Example Implementations\NASA Tool Wear\01) N_studies_with_1_assay_each\Data_mill\Case_13\Settings\feed\Case_13_time_run_02.csv</v>
      </c>
      <c r="EF6" s="71" t="str">
        <f t="shared" si="22"/>
        <v>D:\DPL\ISA3\Example Implementations\NASA Tool Wear\01) N_studies_with_1_assay_each\Data_mill\Case_13\Settings\feed\Case_13_time_run_03.csv</v>
      </c>
      <c r="EG6" s="71" t="str">
        <f t="shared" si="22"/>
        <v>D:\DPL\ISA3\Example Implementations\NASA Tool Wear\01) N_studies_with_1_assay_each\Data_mill\Case_13\Settings\feed\Case_13_time_run_04.csv</v>
      </c>
      <c r="EH6" s="71" t="str">
        <f t="shared" si="22"/>
        <v>D:\DPL\ISA3\Example Implementations\NASA Tool Wear\01) N_studies_with_1_assay_each\Data_mill\Case_13\Settings\feed\Case_13_time_run_05.csv</v>
      </c>
      <c r="EI6" s="71" t="str">
        <f t="shared" si="22"/>
        <v>D:\DPL\ISA3\Example Implementations\NASA Tool Wear\01) N_studies_with_1_assay_each\Data_mill\Case_13\Settings\feed\Case_13_time_run_06.csv</v>
      </c>
      <c r="EJ6" s="71" t="str">
        <f t="shared" si="22"/>
        <v>D:\DPL\ISA3\Example Implementations\NASA Tool Wear\01) N_studies_with_1_assay_each\Data_mill\Case_13\Settings\feed\Case_13_time_run_07.csv</v>
      </c>
      <c r="EK6" s="71" t="str">
        <f t="shared" si="22"/>
        <v>D:\DPL\ISA3\Example Implementations\NASA Tool Wear\01) N_studies_with_1_assay_each\Data_mill\Case_13\Settings\feed\Case_13_time_run_08.csv</v>
      </c>
      <c r="EL6" s="71" t="str">
        <f t="shared" si="22"/>
        <v>D:\DPL\ISA3\Example Implementations\NASA Tool Wear\01) N_studies_with_1_assay_each\Data_mill\Case_13\Settings\feed\Case_13_time_run_09.csv</v>
      </c>
      <c r="EM6" s="71" t="str">
        <f t="shared" si="22"/>
        <v>D:\DPL\ISA3\Example Implementations\NASA Tool Wear\01) N_studies_with_1_assay_each\Data_mill\Case_13\Settings\feed\Case_13_time_run_10.csv</v>
      </c>
      <c r="EN6" s="71" t="str">
        <f t="shared" si="22"/>
        <v>D:\DPL\ISA3\Example Implementations\NASA Tool Wear\01) N_studies_with_1_assay_each\Data_mill\Case_13\Settings\feed\Case_13_time_run_11.csv</v>
      </c>
      <c r="EO6" s="71" t="str">
        <f t="shared" si="22"/>
        <v>D:\DPL\ISA3\Example Implementations\NASA Tool Wear\01) N_studies_with_1_assay_each\Data_mill\Case_13\Settings\feed\Case_13_time_run_12.csv</v>
      </c>
      <c r="EP6" s="71" t="str">
        <f t="shared" si="22"/>
        <v>D:\DPL\ISA3\Example Implementations\NASA Tool Wear\01) N_studies_with_1_assay_each\Data_mill\Case_13\Settings\feed\Case_13_time_run_13.csv</v>
      </c>
      <c r="EQ6" s="71" t="str">
        <f t="shared" si="22"/>
        <v>D:\DPL\ISA3\Example Implementations\NASA Tool Wear\01) N_studies_with_1_assay_each\Data_mill\Case_13\Settings\feed\Case_13_time_run_14.csv</v>
      </c>
      <c r="ER6" s="71" t="str">
        <f t="shared" si="22"/>
        <v>D:\DPL\ISA3\Example Implementations\NASA Tool Wear\01) N_studies_with_1_assay_each\Data_mill\Case_13\Settings\feed\Case_13_time_run_15.csv</v>
      </c>
      <c r="ES6" s="71" t="str">
        <f t="shared" ref="ES6:FM6" si="23">"D:\DPL\ISA3\Example Implementations\NASA Tool Wear\01) N_studies_with_1_assay_each\Data_mill\Case_"&amp;_xlfn.TEXTAFTER(ES$1,"s")&amp;"\Settings\feed\Case_"&amp;_xlfn.TEXTAFTER(ES$1,"s")&amp;"_time_run_"&amp;_xlfn.TEXTAFTER(ES$2,"Run ")&amp;".csv"</f>
        <v>D:\DPL\ISA3\Example Implementations\NASA Tool Wear\01) N_studies_with_1_assay_each\Data_mill\Case_14\Settings\feed\Case_14_time_run_01.csv</v>
      </c>
      <c r="ET6" s="71" t="str">
        <f t="shared" si="23"/>
        <v>D:\DPL\ISA3\Example Implementations\NASA Tool Wear\01) N_studies_with_1_assay_each\Data_mill\Case_14\Settings\feed\Case_14_time_run_02.csv</v>
      </c>
      <c r="EU6" s="71" t="str">
        <f t="shared" si="23"/>
        <v>D:\DPL\ISA3\Example Implementations\NASA Tool Wear\01) N_studies_with_1_assay_each\Data_mill\Case_14\Settings\feed\Case_14_time_run_03.csv</v>
      </c>
      <c r="EV6" s="71" t="str">
        <f t="shared" si="23"/>
        <v>D:\DPL\ISA3\Example Implementations\NASA Tool Wear\01) N_studies_with_1_assay_each\Data_mill\Case_14\Settings\feed\Case_14_time_run_04.csv</v>
      </c>
      <c r="EW6" s="71" t="str">
        <f t="shared" si="23"/>
        <v>D:\DPL\ISA3\Example Implementations\NASA Tool Wear\01) N_studies_with_1_assay_each\Data_mill\Case_14\Settings\feed\Case_14_time_run_05.csv</v>
      </c>
      <c r="EX6" s="71" t="str">
        <f t="shared" si="23"/>
        <v>D:\DPL\ISA3\Example Implementations\NASA Tool Wear\01) N_studies_with_1_assay_each\Data_mill\Case_14\Settings\feed\Case_14_time_run_06.csv</v>
      </c>
      <c r="EY6" s="71" t="str">
        <f t="shared" si="23"/>
        <v>D:\DPL\ISA3\Example Implementations\NASA Tool Wear\01) N_studies_with_1_assay_each\Data_mill\Case_14\Settings\feed\Case_14_time_run_07.csv</v>
      </c>
      <c r="EZ6" s="71" t="str">
        <f t="shared" si="23"/>
        <v>D:\DPL\ISA3\Example Implementations\NASA Tool Wear\01) N_studies_with_1_assay_each\Data_mill\Case_14\Settings\feed\Case_14_time_run_08.csv</v>
      </c>
      <c r="FA6" s="71" t="str">
        <f t="shared" si="23"/>
        <v>D:\DPL\ISA3\Example Implementations\NASA Tool Wear\01) N_studies_with_1_assay_each\Data_mill\Case_14\Settings\feed\Case_14_time_run_09.csv</v>
      </c>
      <c r="FB6" s="71" t="str">
        <f t="shared" si="23"/>
        <v>D:\DPL\ISA3\Example Implementations\NASA Tool Wear\01) N_studies_with_1_assay_each\Data_mill\Case_15\Settings\feed\Case_15_time_run_01.csv</v>
      </c>
      <c r="FC6" s="71" t="str">
        <f t="shared" si="23"/>
        <v>D:\DPL\ISA3\Example Implementations\NASA Tool Wear\01) N_studies_with_1_assay_each\Data_mill\Case_15\Settings\feed\Case_15_time_run_02.csv</v>
      </c>
      <c r="FD6" s="71" t="str">
        <f t="shared" si="23"/>
        <v>D:\DPL\ISA3\Example Implementations\NASA Tool Wear\01) N_studies_with_1_assay_each\Data_mill\Case_15\Settings\feed\Case_15_time_run_03.csv</v>
      </c>
      <c r="FE6" s="71" t="str">
        <f t="shared" si="23"/>
        <v>D:\DPL\ISA3\Example Implementations\NASA Tool Wear\01) N_studies_with_1_assay_each\Data_mill\Case_15\Settings\feed\Case_15_time_run_04.csv</v>
      </c>
      <c r="FF6" s="71" t="str">
        <f t="shared" si="23"/>
        <v>D:\DPL\ISA3\Example Implementations\NASA Tool Wear\01) N_studies_with_1_assay_each\Data_mill\Case_15\Settings\feed\Case_15_time_run_05.csv</v>
      </c>
      <c r="FG6" s="71" t="str">
        <f t="shared" si="23"/>
        <v>D:\DPL\ISA3\Example Implementations\NASA Tool Wear\01) N_studies_with_1_assay_each\Data_mill\Case_15\Settings\feed\Case_15_time_run_06.csv</v>
      </c>
      <c r="FH6" s="71" t="str">
        <f t="shared" si="23"/>
        <v>D:\DPL\ISA3\Example Implementations\NASA Tool Wear\01) N_studies_with_1_assay_each\Data_mill\Case_16\Settings\feed\Case_16_time_run_01.csv</v>
      </c>
      <c r="FI6" s="71" t="str">
        <f t="shared" si="23"/>
        <v>D:\DPL\ISA3\Example Implementations\NASA Tool Wear\01) N_studies_with_1_assay_each\Data_mill\Case_16\Settings\feed\Case_16_time_run_02.csv</v>
      </c>
      <c r="FJ6" s="71" t="str">
        <f t="shared" si="23"/>
        <v>D:\DPL\ISA3\Example Implementations\NASA Tool Wear\01) N_studies_with_1_assay_each\Data_mill\Case_16\Settings\feed\Case_16_time_run_03.csv</v>
      </c>
      <c r="FK6" s="71" t="str">
        <f t="shared" si="23"/>
        <v>D:\DPL\ISA3\Example Implementations\NASA Tool Wear\01) N_studies_with_1_assay_each\Data_mill\Case_16\Settings\feed\Case_16_time_run_04.csv</v>
      </c>
      <c r="FL6" s="71" t="str">
        <f t="shared" si="23"/>
        <v>D:\DPL\ISA3\Example Implementations\NASA Tool Wear\01) N_studies_with_1_assay_each\Data_mill\Case_16\Settings\feed\Case_16_time_run_05.csv</v>
      </c>
      <c r="FM6" s="71" t="str">
        <f t="shared" si="23"/>
        <v>D:\DPL\ISA3\Example Implementations\NASA Tool Wear\01) N_studies_with_1_assay_each\Data_mill\Case_16\Settings\feed\Case_16_time_run_06.csv</v>
      </c>
      <c r="FN6" s="71"/>
    </row>
    <row r="7" spans="1:175" x14ac:dyDescent="0.3">
      <c r="A7" t="s">
        <v>128</v>
      </c>
      <c r="B7" s="6" t="s">
        <v>20</v>
      </c>
      <c r="D7" t="str">
        <f t="shared" ref="D7:AI7" si="24">"D:\DPL\ISA3\Example Implementations\NASA Tool Wear\01) N_studies_with_1_assay_each\Data_mill\Case_"&amp;_xlfn.TEXTAFTER(D$1,"s")&amp;"\Settings\material\Case_"&amp;_xlfn.TEXTAFTER(D$1,"s")&amp;"_time_run_"&amp;_xlfn.TEXTAFTER(D$2,"Run ")&amp;".csv"</f>
        <v>D:\DPL\ISA3\Example Implementations\NASA Tool Wear\01) N_studies_with_1_assay_each\Data_mill\Case_01\Settings\material\Case_01_time_run_01.csv</v>
      </c>
      <c r="E7" s="71" t="str">
        <f t="shared" si="24"/>
        <v>D:\DPL\ISA3\Example Implementations\NASA Tool Wear\01) N_studies_with_1_assay_each\Data_mill\Case_01\Settings\material\Case_01_time_run_02.csv</v>
      </c>
      <c r="F7" s="71" t="str">
        <f t="shared" si="24"/>
        <v>D:\DPL\ISA3\Example Implementations\NASA Tool Wear\01) N_studies_with_1_assay_each\Data_mill\Case_01\Settings\material\Case_01_time_run_03.csv</v>
      </c>
      <c r="G7" s="71" t="str">
        <f t="shared" si="24"/>
        <v>D:\DPL\ISA3\Example Implementations\NASA Tool Wear\01) N_studies_with_1_assay_each\Data_mill\Case_01\Settings\material\Case_01_time_run_04.csv</v>
      </c>
      <c r="H7" s="71" t="str">
        <f t="shared" si="24"/>
        <v>D:\DPL\ISA3\Example Implementations\NASA Tool Wear\01) N_studies_with_1_assay_each\Data_mill\Case_01\Settings\material\Case_01_time_run_05.csv</v>
      </c>
      <c r="I7" s="71" t="str">
        <f t="shared" si="24"/>
        <v>D:\DPL\ISA3\Example Implementations\NASA Tool Wear\01) N_studies_with_1_assay_each\Data_mill\Case_01\Settings\material\Case_01_time_run_06.csv</v>
      </c>
      <c r="J7" s="71" t="str">
        <f t="shared" si="24"/>
        <v>D:\DPL\ISA3\Example Implementations\NASA Tool Wear\01) N_studies_with_1_assay_each\Data_mill\Case_01\Settings\material\Case_01_time_run_07.csv</v>
      </c>
      <c r="K7" s="71" t="str">
        <f t="shared" si="24"/>
        <v>D:\DPL\ISA3\Example Implementations\NASA Tool Wear\01) N_studies_with_1_assay_each\Data_mill\Case_01\Settings\material\Case_01_time_run_08.csv</v>
      </c>
      <c r="L7" s="71" t="str">
        <f t="shared" si="24"/>
        <v>D:\DPL\ISA3\Example Implementations\NASA Tool Wear\01) N_studies_with_1_assay_each\Data_mill\Case_01\Settings\material\Case_01_time_run_09.csv</v>
      </c>
      <c r="M7" s="71" t="str">
        <f t="shared" si="24"/>
        <v>D:\DPL\ISA3\Example Implementations\NASA Tool Wear\01) N_studies_with_1_assay_each\Data_mill\Case_01\Settings\material\Case_01_time_run_10.csv</v>
      </c>
      <c r="N7" s="71" t="str">
        <f t="shared" si="24"/>
        <v>D:\DPL\ISA3\Example Implementations\NASA Tool Wear\01) N_studies_with_1_assay_each\Data_mill\Case_01\Settings\material\Case_01_time_run_11.csv</v>
      </c>
      <c r="O7" s="71" t="str">
        <f t="shared" si="24"/>
        <v>D:\DPL\ISA3\Example Implementations\NASA Tool Wear\01) N_studies_with_1_assay_each\Data_mill\Case_01\Settings\material\Case_01_time_run_12.csv</v>
      </c>
      <c r="P7" s="71" t="str">
        <f t="shared" si="24"/>
        <v>D:\DPL\ISA3\Example Implementations\NASA Tool Wear\01) N_studies_with_1_assay_each\Data_mill\Case_01\Settings\material\Case_01_time_run_13.csv</v>
      </c>
      <c r="Q7" s="71" t="str">
        <f t="shared" si="24"/>
        <v>D:\DPL\ISA3\Example Implementations\NASA Tool Wear\01) N_studies_with_1_assay_each\Data_mill\Case_01\Settings\material\Case_01_time_run_14.csv</v>
      </c>
      <c r="R7" s="71" t="str">
        <f t="shared" si="24"/>
        <v>D:\DPL\ISA3\Example Implementations\NASA Tool Wear\01) N_studies_with_1_assay_each\Data_mill\Case_01\Settings\material\Case_01_time_run_15.csv</v>
      </c>
      <c r="S7" s="71" t="str">
        <f t="shared" si="24"/>
        <v>D:\DPL\ISA3\Example Implementations\NASA Tool Wear\01) N_studies_with_1_assay_each\Data_mill\Case_01\Settings\material\Case_01_time_run_16.csv</v>
      </c>
      <c r="T7" s="71" t="str">
        <f t="shared" si="24"/>
        <v>D:\DPL\ISA3\Example Implementations\NASA Tool Wear\01) N_studies_with_1_assay_each\Data_mill\Case_01\Settings\material\Case_01_time_run_17.csv</v>
      </c>
      <c r="U7" s="71" t="str">
        <f t="shared" si="24"/>
        <v>D:\DPL\ISA3\Example Implementations\NASA Tool Wear\01) N_studies_with_1_assay_each\Data_mill\Case_02\Settings\material\Case_02_time_run_01.csv</v>
      </c>
      <c r="V7" s="71" t="str">
        <f t="shared" si="24"/>
        <v>D:\DPL\ISA3\Example Implementations\NASA Tool Wear\01) N_studies_with_1_assay_each\Data_mill\Case_02\Settings\material\Case_02_time_run_02.csv</v>
      </c>
      <c r="W7" s="71" t="str">
        <f t="shared" si="24"/>
        <v>D:\DPL\ISA3\Example Implementations\NASA Tool Wear\01) N_studies_with_1_assay_each\Data_mill\Case_02\Settings\material\Case_02_time_run_03.csv</v>
      </c>
      <c r="X7" s="71" t="str">
        <f t="shared" si="24"/>
        <v>D:\DPL\ISA3\Example Implementations\NASA Tool Wear\01) N_studies_with_1_assay_each\Data_mill\Case_02\Settings\material\Case_02_time_run_04.csv</v>
      </c>
      <c r="Y7" s="71" t="str">
        <f t="shared" si="24"/>
        <v>D:\DPL\ISA3\Example Implementations\NASA Tool Wear\01) N_studies_with_1_assay_each\Data_mill\Case_02\Settings\material\Case_02_time_run_05.csv</v>
      </c>
      <c r="Z7" s="71" t="str">
        <f t="shared" si="24"/>
        <v>D:\DPL\ISA3\Example Implementations\NASA Tool Wear\01) N_studies_with_1_assay_each\Data_mill\Case_02\Settings\material\Case_02_time_run_06.csv</v>
      </c>
      <c r="AA7" s="71" t="str">
        <f t="shared" si="24"/>
        <v>D:\DPL\ISA3\Example Implementations\NASA Tool Wear\01) N_studies_with_1_assay_each\Data_mill\Case_02\Settings\material\Case_02_time_run_07.csv</v>
      </c>
      <c r="AB7" s="71" t="str">
        <f t="shared" si="24"/>
        <v>D:\DPL\ISA3\Example Implementations\NASA Tool Wear\01) N_studies_with_1_assay_each\Data_mill\Case_02\Settings\material\Case_02_time_run_08.csv</v>
      </c>
      <c r="AC7" s="71" t="str">
        <f t="shared" si="24"/>
        <v>D:\DPL\ISA3\Example Implementations\NASA Tool Wear\01) N_studies_with_1_assay_each\Data_mill\Case_02\Settings\material\Case_02_time_run_09.csv</v>
      </c>
      <c r="AD7" s="71" t="str">
        <f t="shared" si="24"/>
        <v>D:\DPL\ISA3\Example Implementations\NASA Tool Wear\01) N_studies_with_1_assay_each\Data_mill\Case_02\Settings\material\Case_02_time_run_10.csv</v>
      </c>
      <c r="AE7" s="71" t="str">
        <f t="shared" si="24"/>
        <v>D:\DPL\ISA3\Example Implementations\NASA Tool Wear\01) N_studies_with_1_assay_each\Data_mill\Case_02\Settings\material\Case_02_time_run_11.csv</v>
      </c>
      <c r="AF7" s="71" t="str">
        <f t="shared" si="24"/>
        <v>D:\DPL\ISA3\Example Implementations\NASA Tool Wear\01) N_studies_with_1_assay_each\Data_mill\Case_02\Settings\material\Case_02_time_run_12.csv</v>
      </c>
      <c r="AG7" s="71" t="str">
        <f t="shared" si="24"/>
        <v>D:\DPL\ISA3\Example Implementations\NASA Tool Wear\01) N_studies_with_1_assay_each\Data_mill\Case_02\Settings\material\Case_02_time_run_13.csv</v>
      </c>
      <c r="AH7" s="71" t="str">
        <f t="shared" si="24"/>
        <v>D:\DPL\ISA3\Example Implementations\NASA Tool Wear\01) N_studies_with_1_assay_each\Data_mill\Case_02\Settings\material\Case_02_time_run_14.csv</v>
      </c>
      <c r="AI7" s="71" t="str">
        <f t="shared" si="24"/>
        <v>D:\DPL\ISA3\Example Implementations\NASA Tool Wear\01) N_studies_with_1_assay_each\Data_mill\Case_03\Settings\material\Case_03_time_run_01.csv</v>
      </c>
      <c r="AJ7" s="71" t="str">
        <f t="shared" ref="AJ7:BO7" si="25">"D:\DPL\ISA3\Example Implementations\NASA Tool Wear\01) N_studies_with_1_assay_each\Data_mill\Case_"&amp;_xlfn.TEXTAFTER(AJ$1,"s")&amp;"\Settings\material\Case_"&amp;_xlfn.TEXTAFTER(AJ$1,"s")&amp;"_time_run_"&amp;_xlfn.TEXTAFTER(AJ$2,"Run ")&amp;".csv"</f>
        <v>D:\DPL\ISA3\Example Implementations\NASA Tool Wear\01) N_studies_with_1_assay_each\Data_mill\Case_03\Settings\material\Case_03_time_run_02.csv</v>
      </c>
      <c r="AK7" s="71" t="str">
        <f t="shared" si="25"/>
        <v>D:\DPL\ISA3\Example Implementations\NASA Tool Wear\01) N_studies_with_1_assay_each\Data_mill\Case_03\Settings\material\Case_03_time_run_03.csv</v>
      </c>
      <c r="AL7" s="71" t="str">
        <f t="shared" si="25"/>
        <v>D:\DPL\ISA3\Example Implementations\NASA Tool Wear\01) N_studies_with_1_assay_each\Data_mill\Case_03\Settings\material\Case_03_time_run_04.csv</v>
      </c>
      <c r="AM7" s="71" t="str">
        <f t="shared" si="25"/>
        <v>D:\DPL\ISA3\Example Implementations\NASA Tool Wear\01) N_studies_with_1_assay_each\Data_mill\Case_03\Settings\material\Case_03_time_run_05.csv</v>
      </c>
      <c r="AN7" s="71" t="str">
        <f t="shared" si="25"/>
        <v>D:\DPL\ISA3\Example Implementations\NASA Tool Wear\01) N_studies_with_1_assay_each\Data_mill\Case_03\Settings\material\Case_03_time_run_06.csv</v>
      </c>
      <c r="AO7" s="71" t="str">
        <f t="shared" si="25"/>
        <v>D:\DPL\ISA3\Example Implementations\NASA Tool Wear\01) N_studies_with_1_assay_each\Data_mill\Case_03\Settings\material\Case_03_time_run_07.csv</v>
      </c>
      <c r="AP7" s="71" t="str">
        <f t="shared" si="25"/>
        <v>D:\DPL\ISA3\Example Implementations\NASA Tool Wear\01) N_studies_with_1_assay_each\Data_mill\Case_03\Settings\material\Case_03_time_run_08.csv</v>
      </c>
      <c r="AQ7" s="71" t="str">
        <f t="shared" si="25"/>
        <v>D:\DPL\ISA3\Example Implementations\NASA Tool Wear\01) N_studies_with_1_assay_each\Data_mill\Case_03\Settings\material\Case_03_time_run_09.csv</v>
      </c>
      <c r="AR7" s="71" t="str">
        <f t="shared" si="25"/>
        <v>D:\DPL\ISA3\Example Implementations\NASA Tool Wear\01) N_studies_with_1_assay_each\Data_mill\Case_03\Settings\material\Case_03_time_run_10.csv</v>
      </c>
      <c r="AS7" s="71" t="str">
        <f t="shared" si="25"/>
        <v>D:\DPL\ISA3\Example Implementations\NASA Tool Wear\01) N_studies_with_1_assay_each\Data_mill\Case_03\Settings\material\Case_03_time_run_11.csv</v>
      </c>
      <c r="AT7" s="71" t="str">
        <f t="shared" si="25"/>
        <v>D:\DPL\ISA3\Example Implementations\NASA Tool Wear\01) N_studies_with_1_assay_each\Data_mill\Case_03\Settings\material\Case_03_time_run_12.csv</v>
      </c>
      <c r="AU7" s="71" t="str">
        <f t="shared" si="25"/>
        <v>D:\DPL\ISA3\Example Implementations\NASA Tool Wear\01) N_studies_with_1_assay_each\Data_mill\Case_03\Settings\material\Case_03_time_run_13.csv</v>
      </c>
      <c r="AV7" s="71" t="str">
        <f t="shared" si="25"/>
        <v>D:\DPL\ISA3\Example Implementations\NASA Tool Wear\01) N_studies_with_1_assay_each\Data_mill\Case_03\Settings\material\Case_03_time_run_14.csv</v>
      </c>
      <c r="AW7" s="71" t="str">
        <f t="shared" si="25"/>
        <v>D:\DPL\ISA3\Example Implementations\NASA Tool Wear\01) N_studies_with_1_assay_each\Data_mill\Case_04\Settings\material\Case_04_time_run_01.csv</v>
      </c>
      <c r="AX7" s="71" t="str">
        <f t="shared" si="25"/>
        <v>D:\DPL\ISA3\Example Implementations\NASA Tool Wear\01) N_studies_with_1_assay_each\Data_mill\Case_04\Settings\material\Case_04_time_run_02.csv</v>
      </c>
      <c r="AY7" s="71" t="str">
        <f t="shared" si="25"/>
        <v>D:\DPL\ISA3\Example Implementations\NASA Tool Wear\01) N_studies_with_1_assay_each\Data_mill\Case_04\Settings\material\Case_04_time_run_03.csv</v>
      </c>
      <c r="AZ7" s="71" t="str">
        <f t="shared" si="25"/>
        <v>D:\DPL\ISA3\Example Implementations\NASA Tool Wear\01) N_studies_with_1_assay_each\Data_mill\Case_04\Settings\material\Case_04_time_run_04.csv</v>
      </c>
      <c r="BA7" s="71" t="str">
        <f t="shared" si="25"/>
        <v>D:\DPL\ISA3\Example Implementations\NASA Tool Wear\01) N_studies_with_1_assay_each\Data_mill\Case_04\Settings\material\Case_04_time_run_05.csv</v>
      </c>
      <c r="BB7" s="71" t="str">
        <f t="shared" si="25"/>
        <v>D:\DPL\ISA3\Example Implementations\NASA Tool Wear\01) N_studies_with_1_assay_each\Data_mill\Case_04\Settings\material\Case_04_time_run_06.csv</v>
      </c>
      <c r="BC7" s="71" t="str">
        <f t="shared" si="25"/>
        <v>D:\DPL\ISA3\Example Implementations\NASA Tool Wear\01) N_studies_with_1_assay_each\Data_mill\Case_04\Settings\material\Case_04_time_run_07.csv</v>
      </c>
      <c r="BD7" s="71" t="str">
        <f t="shared" si="25"/>
        <v>D:\DPL\ISA3\Example Implementations\NASA Tool Wear\01) N_studies_with_1_assay_each\Data_mill\Case_05\Settings\material\Case_05_time_run_01.csv</v>
      </c>
      <c r="BE7" s="71" t="str">
        <f t="shared" si="25"/>
        <v>D:\DPL\ISA3\Example Implementations\NASA Tool Wear\01) N_studies_with_1_assay_each\Data_mill\Case_05\Settings\material\Case_05_time_run_02.csv</v>
      </c>
      <c r="BF7" s="71" t="str">
        <f t="shared" si="25"/>
        <v>D:\DPL\ISA3\Example Implementations\NASA Tool Wear\01) N_studies_with_1_assay_each\Data_mill\Case_05\Settings\material\Case_05_time_run_03.csv</v>
      </c>
      <c r="BG7" s="71" t="str">
        <f t="shared" si="25"/>
        <v>D:\DPL\ISA3\Example Implementations\NASA Tool Wear\01) N_studies_with_1_assay_each\Data_mill\Case_05\Settings\material\Case_05_time_run_04.csv</v>
      </c>
      <c r="BH7" s="71" t="str">
        <f t="shared" si="25"/>
        <v>D:\DPL\ISA3\Example Implementations\NASA Tool Wear\01) N_studies_with_1_assay_each\Data_mill\Case_05\Settings\material\Case_05_time_run_05.csv</v>
      </c>
      <c r="BI7" s="71" t="str">
        <f t="shared" si="25"/>
        <v>D:\DPL\ISA3\Example Implementations\NASA Tool Wear\01) N_studies_with_1_assay_each\Data_mill\Case_05\Settings\material\Case_05_time_run_06.csv</v>
      </c>
      <c r="BJ7" s="71" t="str">
        <f t="shared" si="25"/>
        <v>D:\DPL\ISA3\Example Implementations\NASA Tool Wear\01) N_studies_with_1_assay_each\Data_mill\Case_06\Settings\material\Case_06_time_run_01.csv</v>
      </c>
      <c r="BK7" s="71" t="str">
        <f t="shared" si="25"/>
        <v>D:\DPL\ISA3\Example Implementations\NASA Tool Wear\01) N_studies_with_1_assay_each\Data_mill\Case_07\Settings\material\Case_07_time_run_01.csv</v>
      </c>
      <c r="BL7" s="71" t="str">
        <f t="shared" si="25"/>
        <v>D:\DPL\ISA3\Example Implementations\NASA Tool Wear\01) N_studies_with_1_assay_each\Data_mill\Case_07\Settings\material\Case_07_time_run_02.csv</v>
      </c>
      <c r="BM7" s="71" t="str">
        <f t="shared" si="25"/>
        <v>D:\DPL\ISA3\Example Implementations\NASA Tool Wear\01) N_studies_with_1_assay_each\Data_mill\Case_07\Settings\material\Case_07_time_run_03.csv</v>
      </c>
      <c r="BN7" s="71" t="str">
        <f t="shared" si="25"/>
        <v>D:\DPL\ISA3\Example Implementations\NASA Tool Wear\01) N_studies_with_1_assay_each\Data_mill\Case_07\Settings\material\Case_07_time_run_04.csv</v>
      </c>
      <c r="BO7" s="71" t="str">
        <f t="shared" si="25"/>
        <v>D:\DPL\ISA3\Example Implementations\NASA Tool Wear\01) N_studies_with_1_assay_each\Data_mill\Case_07\Settings\material\Case_07_time_run_05.csv</v>
      </c>
      <c r="BP7" s="71" t="str">
        <f t="shared" ref="BP7:CU7" si="26">"D:\DPL\ISA3\Example Implementations\NASA Tool Wear\01) N_studies_with_1_assay_each\Data_mill\Case_"&amp;_xlfn.TEXTAFTER(BP$1,"s")&amp;"\Settings\material\Case_"&amp;_xlfn.TEXTAFTER(BP$1,"s")&amp;"_time_run_"&amp;_xlfn.TEXTAFTER(BP$2,"Run ")&amp;".csv"</f>
        <v>D:\DPL\ISA3\Example Implementations\NASA Tool Wear\01) N_studies_with_1_assay_each\Data_mill\Case_07\Settings\material\Case_07_time_run_06.csv</v>
      </c>
      <c r="BQ7" s="71" t="str">
        <f t="shared" si="26"/>
        <v>D:\DPL\ISA3\Example Implementations\NASA Tool Wear\01) N_studies_with_1_assay_each\Data_mill\Case_07\Settings\material\Case_07_time_run_07.csv</v>
      </c>
      <c r="BR7" s="71" t="str">
        <f t="shared" si="26"/>
        <v>D:\DPL\ISA3\Example Implementations\NASA Tool Wear\01) N_studies_with_1_assay_each\Data_mill\Case_07\Settings\material\Case_07_time_run_08.csv</v>
      </c>
      <c r="BS7" s="71" t="str">
        <f t="shared" si="26"/>
        <v>D:\DPL\ISA3\Example Implementations\NASA Tool Wear\01) N_studies_with_1_assay_each\Data_mill\Case_08\Settings\material\Case_08_time_run_01.csv</v>
      </c>
      <c r="BT7" s="71" t="str">
        <f t="shared" si="26"/>
        <v>D:\DPL\ISA3\Example Implementations\NASA Tool Wear\01) N_studies_with_1_assay_each\Data_mill\Case_08\Settings\material\Case_08_time_run_02.csv</v>
      </c>
      <c r="BU7" s="71" t="str">
        <f t="shared" si="26"/>
        <v>D:\DPL\ISA3\Example Implementations\NASA Tool Wear\01) N_studies_with_1_assay_each\Data_mill\Case_08\Settings\material\Case_08_time_run_03.csv</v>
      </c>
      <c r="BV7" s="71" t="str">
        <f t="shared" si="26"/>
        <v>D:\DPL\ISA3\Example Implementations\NASA Tool Wear\01) N_studies_with_1_assay_each\Data_mill\Case_08\Settings\material\Case_08_time_run_04.csv</v>
      </c>
      <c r="BW7" s="71" t="str">
        <f t="shared" si="26"/>
        <v>D:\DPL\ISA3\Example Implementations\NASA Tool Wear\01) N_studies_with_1_assay_each\Data_mill\Case_08\Settings\material\Case_08_time_run_05.csv</v>
      </c>
      <c r="BX7" s="71" t="str">
        <f t="shared" si="26"/>
        <v>D:\DPL\ISA3\Example Implementations\NASA Tool Wear\01) N_studies_with_1_assay_each\Data_mill\Case_08\Settings\material\Case_08_time_run_06.csv</v>
      </c>
      <c r="BY7" s="71" t="str">
        <f t="shared" si="26"/>
        <v>D:\DPL\ISA3\Example Implementations\NASA Tool Wear\01) N_studies_with_1_assay_each\Data_mill\Case_09\Settings\material\Case_09_time_run_01.csv</v>
      </c>
      <c r="BZ7" s="71" t="str">
        <f t="shared" si="26"/>
        <v>D:\DPL\ISA3\Example Implementations\NASA Tool Wear\01) N_studies_with_1_assay_each\Data_mill\Case_09\Settings\material\Case_09_time_run_02.csv</v>
      </c>
      <c r="CA7" s="71" t="str">
        <f t="shared" si="26"/>
        <v>D:\DPL\ISA3\Example Implementations\NASA Tool Wear\01) N_studies_with_1_assay_each\Data_mill\Case_09\Settings\material\Case_09_time_run_03.csv</v>
      </c>
      <c r="CB7" s="71" t="str">
        <f t="shared" si="26"/>
        <v>D:\DPL\ISA3\Example Implementations\NASA Tool Wear\01) N_studies_with_1_assay_each\Data_mill\Case_09\Settings\material\Case_09_time_run_04.csv</v>
      </c>
      <c r="CC7" s="71" t="str">
        <f t="shared" si="26"/>
        <v>D:\DPL\ISA3\Example Implementations\NASA Tool Wear\01) N_studies_with_1_assay_each\Data_mill\Case_09\Settings\material\Case_09_time_run_05.csv</v>
      </c>
      <c r="CD7" s="71" t="str">
        <f t="shared" si="26"/>
        <v>D:\DPL\ISA3\Example Implementations\NASA Tool Wear\01) N_studies_with_1_assay_each\Data_mill\Case_09\Settings\material\Case_09_time_run_06.csv</v>
      </c>
      <c r="CE7" s="71" t="str">
        <f t="shared" si="26"/>
        <v>D:\DPL\ISA3\Example Implementations\NASA Tool Wear\01) N_studies_with_1_assay_each\Data_mill\Case_09\Settings\material\Case_09_time_run_07.csv</v>
      </c>
      <c r="CF7" s="71" t="str">
        <f t="shared" si="26"/>
        <v>D:\DPL\ISA3\Example Implementations\NASA Tool Wear\01) N_studies_with_1_assay_each\Data_mill\Case_09\Settings\material\Case_09_time_run_08.csv</v>
      </c>
      <c r="CG7" s="71" t="str">
        <f t="shared" si="26"/>
        <v>D:\DPL\ISA3\Example Implementations\NASA Tool Wear\01) N_studies_with_1_assay_each\Data_mill\Case_09\Settings\material\Case_09_time_run_09.csv</v>
      </c>
      <c r="CH7" s="71" t="str">
        <f t="shared" si="26"/>
        <v>D:\DPL\ISA3\Example Implementations\NASA Tool Wear\01) N_studies_with_1_assay_each\Data_mill\Case_10\Settings\material\Case_10_time_run_01.csv</v>
      </c>
      <c r="CI7" s="71" t="str">
        <f t="shared" si="26"/>
        <v>D:\DPL\ISA3\Example Implementations\NASA Tool Wear\01) N_studies_with_1_assay_each\Data_mill\Case_10\Settings\material\Case_10_time_run_02.csv</v>
      </c>
      <c r="CJ7" s="71" t="str">
        <f t="shared" si="26"/>
        <v>D:\DPL\ISA3\Example Implementations\NASA Tool Wear\01) N_studies_with_1_assay_each\Data_mill\Case_10\Settings\material\Case_10_time_run_03.csv</v>
      </c>
      <c r="CK7" s="71" t="str">
        <f t="shared" si="26"/>
        <v>D:\DPL\ISA3\Example Implementations\NASA Tool Wear\01) N_studies_with_1_assay_each\Data_mill\Case_10\Settings\material\Case_10_time_run_04.csv</v>
      </c>
      <c r="CL7" s="71" t="str">
        <f t="shared" si="26"/>
        <v>D:\DPL\ISA3\Example Implementations\NASA Tool Wear\01) N_studies_with_1_assay_each\Data_mill\Case_10\Settings\material\Case_10_time_run_05.csv</v>
      </c>
      <c r="CM7" s="71" t="str">
        <f t="shared" si="26"/>
        <v>D:\DPL\ISA3\Example Implementations\NASA Tool Wear\01) N_studies_with_1_assay_each\Data_mill\Case_10\Settings\material\Case_10_time_run_06.csv</v>
      </c>
      <c r="CN7" s="71" t="str">
        <f t="shared" si="26"/>
        <v>D:\DPL\ISA3\Example Implementations\NASA Tool Wear\01) N_studies_with_1_assay_each\Data_mill\Case_10\Settings\material\Case_10_time_run_07.csv</v>
      </c>
      <c r="CO7" s="71" t="str">
        <f t="shared" si="26"/>
        <v>D:\DPL\ISA3\Example Implementations\NASA Tool Wear\01) N_studies_with_1_assay_each\Data_mill\Case_10\Settings\material\Case_10_time_run_08.csv</v>
      </c>
      <c r="CP7" s="71" t="str">
        <f t="shared" si="26"/>
        <v>D:\DPL\ISA3\Example Implementations\NASA Tool Wear\01) N_studies_with_1_assay_each\Data_mill\Case_10\Settings\material\Case_10_time_run_09.csv</v>
      </c>
      <c r="CQ7" s="71" t="str">
        <f t="shared" si="26"/>
        <v>D:\DPL\ISA3\Example Implementations\NASA Tool Wear\01) N_studies_with_1_assay_each\Data_mill\Case_10\Settings\material\Case_10_time_run_10.csv</v>
      </c>
      <c r="CR7" s="71" t="str">
        <f t="shared" si="26"/>
        <v>D:\DPL\ISA3\Example Implementations\NASA Tool Wear\01) N_studies_with_1_assay_each\Data_mill\Case_11\Settings\material\Case_11_time_run_01.csv</v>
      </c>
      <c r="CS7" s="71" t="str">
        <f t="shared" si="26"/>
        <v>D:\DPL\ISA3\Example Implementations\NASA Tool Wear\01) N_studies_with_1_assay_each\Data_mill\Case_11\Settings\material\Case_11_time_run_02.csv</v>
      </c>
      <c r="CT7" s="71" t="str">
        <f t="shared" si="26"/>
        <v>D:\DPL\ISA3\Example Implementations\NASA Tool Wear\01) N_studies_with_1_assay_each\Data_mill\Case_11\Settings\material\Case_11_time_run_03.csv</v>
      </c>
      <c r="CU7" s="71" t="str">
        <f t="shared" si="26"/>
        <v>D:\DPL\ISA3\Example Implementations\NASA Tool Wear\01) N_studies_with_1_assay_each\Data_mill\Case_11\Settings\material\Case_11_time_run_04.csv</v>
      </c>
      <c r="CV7" s="71" t="str">
        <f t="shared" ref="CV7:EC7" si="27">"D:\DPL\ISA3\Example Implementations\NASA Tool Wear\01) N_studies_with_1_assay_each\Data_mill\Case_"&amp;_xlfn.TEXTAFTER(CV$1,"s")&amp;"\Settings\material\Case_"&amp;_xlfn.TEXTAFTER(CV$1,"s")&amp;"_time_run_"&amp;_xlfn.TEXTAFTER(CV$2,"Run ")&amp;".csv"</f>
        <v>D:\DPL\ISA3\Example Implementations\NASA Tool Wear\01) N_studies_with_1_assay_each\Data_mill\Case_11\Settings\material\Case_11_time_run_05.csv</v>
      </c>
      <c r="CW7" s="71" t="str">
        <f t="shared" si="27"/>
        <v>D:\DPL\ISA3\Example Implementations\NASA Tool Wear\01) N_studies_with_1_assay_each\Data_mill\Case_11\Settings\material\Case_11_time_run_06.csv</v>
      </c>
      <c r="CX7" s="71" t="str">
        <f t="shared" si="27"/>
        <v>D:\DPL\ISA3\Example Implementations\NASA Tool Wear\01) N_studies_with_1_assay_each\Data_mill\Case_11\Settings\material\Case_11_time_run_07.csv</v>
      </c>
      <c r="CY7" s="71" t="str">
        <f t="shared" si="27"/>
        <v>D:\DPL\ISA3\Example Implementations\NASA Tool Wear\01) N_studies_with_1_assay_each\Data_mill\Case_11\Settings\material\Case_11_time_run_08.csv</v>
      </c>
      <c r="CZ7" s="71" t="str">
        <f t="shared" si="27"/>
        <v>D:\DPL\ISA3\Example Implementations\NASA Tool Wear\01) N_studies_with_1_assay_each\Data_mill\Case_11\Settings\material\Case_11_time_run_09.csv</v>
      </c>
      <c r="DA7" s="71" t="str">
        <f t="shared" si="27"/>
        <v>D:\DPL\ISA3\Example Implementations\NASA Tool Wear\01) N_studies_with_1_assay_each\Data_mill\Case_11\Settings\material\Case_11_time_run_10.csv</v>
      </c>
      <c r="DB7" s="71" t="str">
        <f t="shared" si="27"/>
        <v>D:\DPL\ISA3\Example Implementations\NASA Tool Wear\01) N_studies_with_1_assay_each\Data_mill\Case_11\Settings\material\Case_11_time_run_11.csv</v>
      </c>
      <c r="DC7" s="71" t="str">
        <f t="shared" si="27"/>
        <v>D:\DPL\ISA3\Example Implementations\NASA Tool Wear\01) N_studies_with_1_assay_each\Data_mill\Case_11\Settings\material\Case_11_time_run_12.csv</v>
      </c>
      <c r="DD7" s="71" t="str">
        <f t="shared" si="27"/>
        <v>D:\DPL\ISA3\Example Implementations\NASA Tool Wear\01) N_studies_with_1_assay_each\Data_mill\Case_11\Settings\material\Case_11_time_run_13.csv</v>
      </c>
      <c r="DE7" s="71" t="str">
        <f t="shared" si="27"/>
        <v>D:\DPL\ISA3\Example Implementations\NASA Tool Wear\01) N_studies_with_1_assay_each\Data_mill\Case_11\Settings\material\Case_11_time_run_14.csv</v>
      </c>
      <c r="DF7" s="71" t="str">
        <f t="shared" si="27"/>
        <v>D:\DPL\ISA3\Example Implementations\NASA Tool Wear\01) N_studies_with_1_assay_each\Data_mill\Case_11\Settings\material\Case_11_time_run_15.csv</v>
      </c>
      <c r="DG7" s="71" t="str">
        <f t="shared" si="27"/>
        <v>D:\DPL\ISA3\Example Implementations\NASA Tool Wear\01) N_studies_with_1_assay_each\Data_mill\Case_11\Settings\material\Case_11_time_run_16.csv</v>
      </c>
      <c r="DH7" s="71" t="str">
        <f t="shared" si="27"/>
        <v>D:\DPL\ISA3\Example Implementations\NASA Tool Wear\01) N_studies_with_1_assay_each\Data_mill\Case_11\Settings\material\Case_11_time_run_17.csv</v>
      </c>
      <c r="DI7" s="71" t="str">
        <f t="shared" si="27"/>
        <v>D:\DPL\ISA3\Example Implementations\NASA Tool Wear\01) N_studies_with_1_assay_each\Data_mill\Case_11\Settings\material\Case_11_time_run_18.csv</v>
      </c>
      <c r="DJ7" s="71" t="str">
        <f t="shared" si="27"/>
        <v>D:\DPL\ISA3\Example Implementations\NASA Tool Wear\01) N_studies_with_1_assay_each\Data_mill\Case_11\Settings\material\Case_11_time_run_19.csv</v>
      </c>
      <c r="DK7" s="71" t="str">
        <f t="shared" si="27"/>
        <v>D:\DPL\ISA3\Example Implementations\NASA Tool Wear\01) N_studies_with_1_assay_each\Data_mill\Case_11\Settings\material\Case_11_time_run_20.csv</v>
      </c>
      <c r="DL7" s="71" t="str">
        <f t="shared" si="27"/>
        <v>D:\DPL\ISA3\Example Implementations\NASA Tool Wear\01) N_studies_with_1_assay_each\Data_mill\Case_11\Settings\material\Case_11_time_run_21.csv</v>
      </c>
      <c r="DM7" s="71" t="str">
        <f t="shared" si="27"/>
        <v>D:\DPL\ISA3\Example Implementations\NASA Tool Wear\01) N_studies_with_1_assay_each\Data_mill\Case_11\Settings\material\Case_11_time_run_22.csv</v>
      </c>
      <c r="DN7" s="71" t="str">
        <f t="shared" si="27"/>
        <v>D:\DPL\ISA3\Example Implementations\NASA Tool Wear\01) N_studies_with_1_assay_each\Data_mill\Case_11\Settings\material\Case_11_time_run_23.csv</v>
      </c>
      <c r="DO7" s="71" t="str">
        <f t="shared" si="27"/>
        <v>D:\DPL\ISA3\Example Implementations\NASA Tool Wear\01) N_studies_with_1_assay_each\Data_mill\Case_12\Settings\material\Case_12_time_run_01.csv</v>
      </c>
      <c r="DP7" s="71" t="str">
        <f t="shared" si="27"/>
        <v>D:\DPL\ISA3\Example Implementations\NASA Tool Wear\01) N_studies_with_1_assay_each\Data_mill\Case_12\Settings\material\Case_12_time_run_02.csv</v>
      </c>
      <c r="DQ7" s="71" t="str">
        <f t="shared" si="27"/>
        <v>D:\DPL\ISA3\Example Implementations\NASA Tool Wear\01) N_studies_with_1_assay_each\Data_mill\Case_12\Settings\material\Case_12_time_run_03.csv</v>
      </c>
      <c r="DR7" s="71" t="str">
        <f t="shared" si="27"/>
        <v>D:\DPL\ISA3\Example Implementations\NASA Tool Wear\01) N_studies_with_1_assay_each\Data_mill\Case_12\Settings\material\Case_12_time_run_04.csv</v>
      </c>
      <c r="DS7" s="71" t="str">
        <f t="shared" si="27"/>
        <v>D:\DPL\ISA3\Example Implementations\NASA Tool Wear\01) N_studies_with_1_assay_each\Data_mill\Case_12\Settings\material\Case_12_time_run_05.csv</v>
      </c>
      <c r="DT7" s="71" t="str">
        <f t="shared" si="27"/>
        <v>D:\DPL\ISA3\Example Implementations\NASA Tool Wear\01) N_studies_with_1_assay_each\Data_mill\Case_12\Settings\material\Case_12_time_run_06.csv</v>
      </c>
      <c r="DU7" s="71" t="str">
        <f t="shared" si="27"/>
        <v>D:\DPL\ISA3\Example Implementations\NASA Tool Wear\01) N_studies_with_1_assay_each\Data_mill\Case_12\Settings\material\Case_12_time_run_07.csv</v>
      </c>
      <c r="DV7" s="71" t="str">
        <f t="shared" si="27"/>
        <v>D:\DPL\ISA3\Example Implementations\NASA Tool Wear\01) N_studies_with_1_assay_each\Data_mill\Case_12\Settings\material\Case_12_time_run_08.csv</v>
      </c>
      <c r="DW7" s="71" t="str">
        <f t="shared" si="27"/>
        <v>D:\DPL\ISA3\Example Implementations\NASA Tool Wear\01) N_studies_with_1_assay_each\Data_mill\Case_12\Settings\material\Case_12_time_run_09.csv</v>
      </c>
      <c r="DX7" s="71" t="str">
        <f t="shared" si="27"/>
        <v>D:\DPL\ISA3\Example Implementations\NASA Tool Wear\01) N_studies_with_1_assay_each\Data_mill\Case_12\Settings\material\Case_12_time_run_10.csv</v>
      </c>
      <c r="DY7" s="71" t="str">
        <f t="shared" si="27"/>
        <v>D:\DPL\ISA3\Example Implementations\NASA Tool Wear\01) N_studies_with_1_assay_each\Data_mill\Case_12\Settings\material\Case_12_time_run_11.csv</v>
      </c>
      <c r="DZ7" s="71" t="str">
        <f t="shared" si="27"/>
        <v>D:\DPL\ISA3\Example Implementations\NASA Tool Wear\01) N_studies_with_1_assay_each\Data_mill\Case_12\Settings\material\Case_12_time_run_12.csv</v>
      </c>
      <c r="EA7" s="71" t="str">
        <f t="shared" si="27"/>
        <v>D:\DPL\ISA3\Example Implementations\NASA Tool Wear\01) N_studies_with_1_assay_each\Data_mill\Case_12\Settings\material\Case_12_time_run_13.csv</v>
      </c>
      <c r="EB7" s="71" t="str">
        <f t="shared" si="27"/>
        <v>D:\DPL\ISA3\Example Implementations\NASA Tool Wear\01) N_studies_with_1_assay_each\Data_mill\Case_12\Settings\material\Case_12_time_run_14.csv</v>
      </c>
      <c r="EC7" s="71" t="str">
        <f t="shared" si="27"/>
        <v>D:\DPL\ISA3\Example Implementations\NASA Tool Wear\01) N_studies_with_1_assay_each\Data_mill\Case_12\Settings\material\Case_12_time_run_15.csv</v>
      </c>
      <c r="ED7" s="71" t="str">
        <f t="shared" ref="ED7:ER7" si="28">"D:\DPL\ISA3\Example Implementations\NASA Tool Wear\01) N_studies_with_1_assay_each\Data_mill\Case_"&amp;_xlfn.TEXTAFTER(ED$1,"s")&amp;"\Settings\material\Case_"&amp;_xlfn.TEXTAFTER(ED$1,"s")&amp;"_time_run_"&amp;_xlfn.TEXTAFTER(ED$2,"Run ")&amp;".csv"</f>
        <v>D:\DPL\ISA3\Example Implementations\NASA Tool Wear\01) N_studies_with_1_assay_each\Data_mill\Case_13\Settings\material\Case_13_time_run_01.csv</v>
      </c>
      <c r="EE7" s="71" t="str">
        <f t="shared" si="28"/>
        <v>D:\DPL\ISA3\Example Implementations\NASA Tool Wear\01) N_studies_with_1_assay_each\Data_mill\Case_13\Settings\material\Case_13_time_run_02.csv</v>
      </c>
      <c r="EF7" s="71" t="str">
        <f t="shared" si="28"/>
        <v>D:\DPL\ISA3\Example Implementations\NASA Tool Wear\01) N_studies_with_1_assay_each\Data_mill\Case_13\Settings\material\Case_13_time_run_03.csv</v>
      </c>
      <c r="EG7" s="71" t="str">
        <f t="shared" si="28"/>
        <v>D:\DPL\ISA3\Example Implementations\NASA Tool Wear\01) N_studies_with_1_assay_each\Data_mill\Case_13\Settings\material\Case_13_time_run_04.csv</v>
      </c>
      <c r="EH7" s="71" t="str">
        <f t="shared" si="28"/>
        <v>D:\DPL\ISA3\Example Implementations\NASA Tool Wear\01) N_studies_with_1_assay_each\Data_mill\Case_13\Settings\material\Case_13_time_run_05.csv</v>
      </c>
      <c r="EI7" s="71" t="str">
        <f t="shared" si="28"/>
        <v>D:\DPL\ISA3\Example Implementations\NASA Tool Wear\01) N_studies_with_1_assay_each\Data_mill\Case_13\Settings\material\Case_13_time_run_06.csv</v>
      </c>
      <c r="EJ7" s="71" t="str">
        <f t="shared" si="28"/>
        <v>D:\DPL\ISA3\Example Implementations\NASA Tool Wear\01) N_studies_with_1_assay_each\Data_mill\Case_13\Settings\material\Case_13_time_run_07.csv</v>
      </c>
      <c r="EK7" s="71" t="str">
        <f t="shared" si="28"/>
        <v>D:\DPL\ISA3\Example Implementations\NASA Tool Wear\01) N_studies_with_1_assay_each\Data_mill\Case_13\Settings\material\Case_13_time_run_08.csv</v>
      </c>
      <c r="EL7" s="71" t="str">
        <f t="shared" si="28"/>
        <v>D:\DPL\ISA3\Example Implementations\NASA Tool Wear\01) N_studies_with_1_assay_each\Data_mill\Case_13\Settings\material\Case_13_time_run_09.csv</v>
      </c>
      <c r="EM7" s="71" t="str">
        <f t="shared" si="28"/>
        <v>D:\DPL\ISA3\Example Implementations\NASA Tool Wear\01) N_studies_with_1_assay_each\Data_mill\Case_13\Settings\material\Case_13_time_run_10.csv</v>
      </c>
      <c r="EN7" s="71" t="str">
        <f t="shared" si="28"/>
        <v>D:\DPL\ISA3\Example Implementations\NASA Tool Wear\01) N_studies_with_1_assay_each\Data_mill\Case_13\Settings\material\Case_13_time_run_11.csv</v>
      </c>
      <c r="EO7" s="71" t="str">
        <f t="shared" si="28"/>
        <v>D:\DPL\ISA3\Example Implementations\NASA Tool Wear\01) N_studies_with_1_assay_each\Data_mill\Case_13\Settings\material\Case_13_time_run_12.csv</v>
      </c>
      <c r="EP7" s="71" t="str">
        <f t="shared" si="28"/>
        <v>D:\DPL\ISA3\Example Implementations\NASA Tool Wear\01) N_studies_with_1_assay_each\Data_mill\Case_13\Settings\material\Case_13_time_run_13.csv</v>
      </c>
      <c r="EQ7" s="71" t="str">
        <f t="shared" si="28"/>
        <v>D:\DPL\ISA3\Example Implementations\NASA Tool Wear\01) N_studies_with_1_assay_each\Data_mill\Case_13\Settings\material\Case_13_time_run_14.csv</v>
      </c>
      <c r="ER7" s="71" t="str">
        <f t="shared" si="28"/>
        <v>D:\DPL\ISA3\Example Implementations\NASA Tool Wear\01) N_studies_with_1_assay_each\Data_mill\Case_13\Settings\material\Case_13_time_run_15.csv</v>
      </c>
      <c r="ES7" s="71" t="str">
        <f t="shared" ref="ES7:FM7" si="29">"D:\DPL\ISA3\Example Implementations\NASA Tool Wear\01) N_studies_with_1_assay_each\Data_mill\Case_"&amp;_xlfn.TEXTAFTER(ES$1,"s")&amp;"\Settings\material\Case_"&amp;_xlfn.TEXTAFTER(ES$1,"s")&amp;"_time_run_"&amp;_xlfn.TEXTAFTER(ES$2,"Run ")&amp;".csv"</f>
        <v>D:\DPL\ISA3\Example Implementations\NASA Tool Wear\01) N_studies_with_1_assay_each\Data_mill\Case_14\Settings\material\Case_14_time_run_01.csv</v>
      </c>
      <c r="ET7" s="71" t="str">
        <f t="shared" si="29"/>
        <v>D:\DPL\ISA3\Example Implementations\NASA Tool Wear\01) N_studies_with_1_assay_each\Data_mill\Case_14\Settings\material\Case_14_time_run_02.csv</v>
      </c>
      <c r="EU7" s="71" t="str">
        <f t="shared" si="29"/>
        <v>D:\DPL\ISA3\Example Implementations\NASA Tool Wear\01) N_studies_with_1_assay_each\Data_mill\Case_14\Settings\material\Case_14_time_run_03.csv</v>
      </c>
      <c r="EV7" s="71" t="str">
        <f t="shared" si="29"/>
        <v>D:\DPL\ISA3\Example Implementations\NASA Tool Wear\01) N_studies_with_1_assay_each\Data_mill\Case_14\Settings\material\Case_14_time_run_04.csv</v>
      </c>
      <c r="EW7" s="71" t="str">
        <f t="shared" si="29"/>
        <v>D:\DPL\ISA3\Example Implementations\NASA Tool Wear\01) N_studies_with_1_assay_each\Data_mill\Case_14\Settings\material\Case_14_time_run_05.csv</v>
      </c>
      <c r="EX7" s="71" t="str">
        <f t="shared" si="29"/>
        <v>D:\DPL\ISA3\Example Implementations\NASA Tool Wear\01) N_studies_with_1_assay_each\Data_mill\Case_14\Settings\material\Case_14_time_run_06.csv</v>
      </c>
      <c r="EY7" s="71" t="str">
        <f t="shared" si="29"/>
        <v>D:\DPL\ISA3\Example Implementations\NASA Tool Wear\01) N_studies_with_1_assay_each\Data_mill\Case_14\Settings\material\Case_14_time_run_07.csv</v>
      </c>
      <c r="EZ7" s="71" t="str">
        <f t="shared" si="29"/>
        <v>D:\DPL\ISA3\Example Implementations\NASA Tool Wear\01) N_studies_with_1_assay_each\Data_mill\Case_14\Settings\material\Case_14_time_run_08.csv</v>
      </c>
      <c r="FA7" s="71" t="str">
        <f t="shared" si="29"/>
        <v>D:\DPL\ISA3\Example Implementations\NASA Tool Wear\01) N_studies_with_1_assay_each\Data_mill\Case_14\Settings\material\Case_14_time_run_09.csv</v>
      </c>
      <c r="FB7" s="71" t="str">
        <f t="shared" si="29"/>
        <v>D:\DPL\ISA3\Example Implementations\NASA Tool Wear\01) N_studies_with_1_assay_each\Data_mill\Case_15\Settings\material\Case_15_time_run_01.csv</v>
      </c>
      <c r="FC7" s="71" t="str">
        <f t="shared" si="29"/>
        <v>D:\DPL\ISA3\Example Implementations\NASA Tool Wear\01) N_studies_with_1_assay_each\Data_mill\Case_15\Settings\material\Case_15_time_run_02.csv</v>
      </c>
      <c r="FD7" s="71" t="str">
        <f t="shared" si="29"/>
        <v>D:\DPL\ISA3\Example Implementations\NASA Tool Wear\01) N_studies_with_1_assay_each\Data_mill\Case_15\Settings\material\Case_15_time_run_03.csv</v>
      </c>
      <c r="FE7" s="71" t="str">
        <f t="shared" si="29"/>
        <v>D:\DPL\ISA3\Example Implementations\NASA Tool Wear\01) N_studies_with_1_assay_each\Data_mill\Case_15\Settings\material\Case_15_time_run_04.csv</v>
      </c>
      <c r="FF7" s="71" t="str">
        <f t="shared" si="29"/>
        <v>D:\DPL\ISA3\Example Implementations\NASA Tool Wear\01) N_studies_with_1_assay_each\Data_mill\Case_15\Settings\material\Case_15_time_run_05.csv</v>
      </c>
      <c r="FG7" s="71" t="str">
        <f t="shared" si="29"/>
        <v>D:\DPL\ISA3\Example Implementations\NASA Tool Wear\01) N_studies_with_1_assay_each\Data_mill\Case_15\Settings\material\Case_15_time_run_06.csv</v>
      </c>
      <c r="FH7" s="71" t="str">
        <f t="shared" si="29"/>
        <v>D:\DPL\ISA3\Example Implementations\NASA Tool Wear\01) N_studies_with_1_assay_each\Data_mill\Case_16\Settings\material\Case_16_time_run_01.csv</v>
      </c>
      <c r="FI7" s="71" t="str">
        <f t="shared" si="29"/>
        <v>D:\DPL\ISA3\Example Implementations\NASA Tool Wear\01) N_studies_with_1_assay_each\Data_mill\Case_16\Settings\material\Case_16_time_run_02.csv</v>
      </c>
      <c r="FJ7" s="71" t="str">
        <f t="shared" si="29"/>
        <v>D:\DPL\ISA3\Example Implementations\NASA Tool Wear\01) N_studies_with_1_assay_each\Data_mill\Case_16\Settings\material\Case_16_time_run_03.csv</v>
      </c>
      <c r="FK7" s="71" t="str">
        <f t="shared" si="29"/>
        <v>D:\DPL\ISA3\Example Implementations\NASA Tool Wear\01) N_studies_with_1_assay_each\Data_mill\Case_16\Settings\material\Case_16_time_run_04.csv</v>
      </c>
      <c r="FL7" s="71" t="str">
        <f t="shared" si="29"/>
        <v>D:\DPL\ISA3\Example Implementations\NASA Tool Wear\01) N_studies_with_1_assay_each\Data_mill\Case_16\Settings\material\Case_16_time_run_05.csv</v>
      </c>
      <c r="FM7" s="71" t="str">
        <f t="shared" si="29"/>
        <v>D:\DPL\ISA3\Example Implementations\NASA Tool Wear\01) N_studies_with_1_assay_each\Data_mill\Case_16\Settings\material\Case_16_time_run_06.csv</v>
      </c>
      <c r="FN7" s="71"/>
    </row>
    <row r="8" spans="1:175" x14ac:dyDescent="0.3">
      <c r="A8" t="s">
        <v>126</v>
      </c>
      <c r="B8" t="s">
        <v>129</v>
      </c>
      <c r="C8" s="23" t="s">
        <v>70</v>
      </c>
      <c r="D8" t="str">
        <f t="shared" ref="D8:AI8" si="30">"D:\DPL\ISA3\Example Implementations\NASA Tool Wear\01) N_studies_with_1_assay_each\Data_mill\Case_"&amp;_xlfn.TEXTAFTER(D$1,"s")&amp;"\Condition\VB\Case_"&amp;_xlfn.TEXTAFTER(D$1,"s")&amp;"_time_run_"&amp;_xlfn.TEXTAFTER(D$2,"Run ")&amp;".csv"</f>
        <v>D:\DPL\ISA3\Example Implementations\NASA Tool Wear\01) N_studies_with_1_assay_each\Data_mill\Case_01\Condition\VB\Case_01_time_run_01.csv</v>
      </c>
      <c r="E8" s="71" t="str">
        <f t="shared" si="30"/>
        <v>D:\DPL\ISA3\Example Implementations\NASA Tool Wear\01) N_studies_with_1_assay_each\Data_mill\Case_01\Condition\VB\Case_01_time_run_02.csv</v>
      </c>
      <c r="F8" s="71" t="str">
        <f t="shared" si="30"/>
        <v>D:\DPL\ISA3\Example Implementations\NASA Tool Wear\01) N_studies_with_1_assay_each\Data_mill\Case_01\Condition\VB\Case_01_time_run_03.csv</v>
      </c>
      <c r="G8" s="71" t="str">
        <f t="shared" si="30"/>
        <v>D:\DPL\ISA3\Example Implementations\NASA Tool Wear\01) N_studies_with_1_assay_each\Data_mill\Case_01\Condition\VB\Case_01_time_run_04.csv</v>
      </c>
      <c r="H8" s="71" t="str">
        <f t="shared" si="30"/>
        <v>D:\DPL\ISA3\Example Implementations\NASA Tool Wear\01) N_studies_with_1_assay_each\Data_mill\Case_01\Condition\VB\Case_01_time_run_05.csv</v>
      </c>
      <c r="I8" s="71" t="str">
        <f t="shared" si="30"/>
        <v>D:\DPL\ISA3\Example Implementations\NASA Tool Wear\01) N_studies_with_1_assay_each\Data_mill\Case_01\Condition\VB\Case_01_time_run_06.csv</v>
      </c>
      <c r="J8" s="71" t="str">
        <f t="shared" si="30"/>
        <v>D:\DPL\ISA3\Example Implementations\NASA Tool Wear\01) N_studies_with_1_assay_each\Data_mill\Case_01\Condition\VB\Case_01_time_run_07.csv</v>
      </c>
      <c r="K8" s="71" t="str">
        <f t="shared" si="30"/>
        <v>D:\DPL\ISA3\Example Implementations\NASA Tool Wear\01) N_studies_with_1_assay_each\Data_mill\Case_01\Condition\VB\Case_01_time_run_08.csv</v>
      </c>
      <c r="L8" s="71" t="str">
        <f t="shared" si="30"/>
        <v>D:\DPL\ISA3\Example Implementations\NASA Tool Wear\01) N_studies_with_1_assay_each\Data_mill\Case_01\Condition\VB\Case_01_time_run_09.csv</v>
      </c>
      <c r="M8" s="71" t="str">
        <f t="shared" si="30"/>
        <v>D:\DPL\ISA3\Example Implementations\NASA Tool Wear\01) N_studies_with_1_assay_each\Data_mill\Case_01\Condition\VB\Case_01_time_run_10.csv</v>
      </c>
      <c r="N8" s="71" t="str">
        <f t="shared" si="30"/>
        <v>D:\DPL\ISA3\Example Implementations\NASA Tool Wear\01) N_studies_with_1_assay_each\Data_mill\Case_01\Condition\VB\Case_01_time_run_11.csv</v>
      </c>
      <c r="O8" s="71" t="str">
        <f t="shared" si="30"/>
        <v>D:\DPL\ISA3\Example Implementations\NASA Tool Wear\01) N_studies_with_1_assay_each\Data_mill\Case_01\Condition\VB\Case_01_time_run_12.csv</v>
      </c>
      <c r="P8" s="71" t="str">
        <f t="shared" si="30"/>
        <v>D:\DPL\ISA3\Example Implementations\NASA Tool Wear\01) N_studies_with_1_assay_each\Data_mill\Case_01\Condition\VB\Case_01_time_run_13.csv</v>
      </c>
      <c r="Q8" s="71" t="str">
        <f t="shared" si="30"/>
        <v>D:\DPL\ISA3\Example Implementations\NASA Tool Wear\01) N_studies_with_1_assay_each\Data_mill\Case_01\Condition\VB\Case_01_time_run_14.csv</v>
      </c>
      <c r="R8" s="71" t="str">
        <f t="shared" si="30"/>
        <v>D:\DPL\ISA3\Example Implementations\NASA Tool Wear\01) N_studies_with_1_assay_each\Data_mill\Case_01\Condition\VB\Case_01_time_run_15.csv</v>
      </c>
      <c r="S8" s="71" t="str">
        <f t="shared" si="30"/>
        <v>D:\DPL\ISA3\Example Implementations\NASA Tool Wear\01) N_studies_with_1_assay_each\Data_mill\Case_01\Condition\VB\Case_01_time_run_16.csv</v>
      </c>
      <c r="T8" s="71" t="str">
        <f t="shared" si="30"/>
        <v>D:\DPL\ISA3\Example Implementations\NASA Tool Wear\01) N_studies_with_1_assay_each\Data_mill\Case_01\Condition\VB\Case_01_time_run_17.csv</v>
      </c>
      <c r="U8" s="71" t="str">
        <f t="shared" si="30"/>
        <v>D:\DPL\ISA3\Example Implementations\NASA Tool Wear\01) N_studies_with_1_assay_each\Data_mill\Case_02\Condition\VB\Case_02_time_run_01.csv</v>
      </c>
      <c r="V8" s="71" t="str">
        <f t="shared" si="30"/>
        <v>D:\DPL\ISA3\Example Implementations\NASA Tool Wear\01) N_studies_with_1_assay_each\Data_mill\Case_02\Condition\VB\Case_02_time_run_02.csv</v>
      </c>
      <c r="W8" s="71" t="str">
        <f t="shared" si="30"/>
        <v>D:\DPL\ISA3\Example Implementations\NASA Tool Wear\01) N_studies_with_1_assay_each\Data_mill\Case_02\Condition\VB\Case_02_time_run_03.csv</v>
      </c>
      <c r="X8" s="71" t="str">
        <f t="shared" si="30"/>
        <v>D:\DPL\ISA3\Example Implementations\NASA Tool Wear\01) N_studies_with_1_assay_each\Data_mill\Case_02\Condition\VB\Case_02_time_run_04.csv</v>
      </c>
      <c r="Y8" s="71" t="str">
        <f t="shared" si="30"/>
        <v>D:\DPL\ISA3\Example Implementations\NASA Tool Wear\01) N_studies_with_1_assay_each\Data_mill\Case_02\Condition\VB\Case_02_time_run_05.csv</v>
      </c>
      <c r="Z8" s="71" t="str">
        <f t="shared" si="30"/>
        <v>D:\DPL\ISA3\Example Implementations\NASA Tool Wear\01) N_studies_with_1_assay_each\Data_mill\Case_02\Condition\VB\Case_02_time_run_06.csv</v>
      </c>
      <c r="AA8" s="71" t="str">
        <f t="shared" si="30"/>
        <v>D:\DPL\ISA3\Example Implementations\NASA Tool Wear\01) N_studies_with_1_assay_each\Data_mill\Case_02\Condition\VB\Case_02_time_run_07.csv</v>
      </c>
      <c r="AB8" s="71" t="str">
        <f t="shared" si="30"/>
        <v>D:\DPL\ISA3\Example Implementations\NASA Tool Wear\01) N_studies_with_1_assay_each\Data_mill\Case_02\Condition\VB\Case_02_time_run_08.csv</v>
      </c>
      <c r="AC8" s="71" t="str">
        <f t="shared" si="30"/>
        <v>D:\DPL\ISA3\Example Implementations\NASA Tool Wear\01) N_studies_with_1_assay_each\Data_mill\Case_02\Condition\VB\Case_02_time_run_09.csv</v>
      </c>
      <c r="AD8" s="71" t="str">
        <f t="shared" si="30"/>
        <v>D:\DPL\ISA3\Example Implementations\NASA Tool Wear\01) N_studies_with_1_assay_each\Data_mill\Case_02\Condition\VB\Case_02_time_run_10.csv</v>
      </c>
      <c r="AE8" s="71" t="str">
        <f t="shared" si="30"/>
        <v>D:\DPL\ISA3\Example Implementations\NASA Tool Wear\01) N_studies_with_1_assay_each\Data_mill\Case_02\Condition\VB\Case_02_time_run_11.csv</v>
      </c>
      <c r="AF8" s="71" t="str">
        <f t="shared" si="30"/>
        <v>D:\DPL\ISA3\Example Implementations\NASA Tool Wear\01) N_studies_with_1_assay_each\Data_mill\Case_02\Condition\VB\Case_02_time_run_12.csv</v>
      </c>
      <c r="AG8" s="71" t="str">
        <f t="shared" si="30"/>
        <v>D:\DPL\ISA3\Example Implementations\NASA Tool Wear\01) N_studies_with_1_assay_each\Data_mill\Case_02\Condition\VB\Case_02_time_run_13.csv</v>
      </c>
      <c r="AH8" s="71" t="str">
        <f t="shared" si="30"/>
        <v>D:\DPL\ISA3\Example Implementations\NASA Tool Wear\01) N_studies_with_1_assay_each\Data_mill\Case_02\Condition\VB\Case_02_time_run_14.csv</v>
      </c>
      <c r="AI8" s="71" t="str">
        <f t="shared" si="30"/>
        <v>D:\DPL\ISA3\Example Implementations\NASA Tool Wear\01) N_studies_with_1_assay_each\Data_mill\Case_03\Condition\VB\Case_03_time_run_01.csv</v>
      </c>
      <c r="AJ8" s="71" t="str">
        <f t="shared" ref="AJ8:BO8" si="31">"D:\DPL\ISA3\Example Implementations\NASA Tool Wear\01) N_studies_with_1_assay_each\Data_mill\Case_"&amp;_xlfn.TEXTAFTER(AJ$1,"s")&amp;"\Condition\VB\Case_"&amp;_xlfn.TEXTAFTER(AJ$1,"s")&amp;"_time_run_"&amp;_xlfn.TEXTAFTER(AJ$2,"Run ")&amp;".csv"</f>
        <v>D:\DPL\ISA3\Example Implementations\NASA Tool Wear\01) N_studies_with_1_assay_each\Data_mill\Case_03\Condition\VB\Case_03_time_run_02.csv</v>
      </c>
      <c r="AK8" s="71" t="str">
        <f t="shared" si="31"/>
        <v>D:\DPL\ISA3\Example Implementations\NASA Tool Wear\01) N_studies_with_1_assay_each\Data_mill\Case_03\Condition\VB\Case_03_time_run_03.csv</v>
      </c>
      <c r="AL8" s="71" t="str">
        <f t="shared" si="31"/>
        <v>D:\DPL\ISA3\Example Implementations\NASA Tool Wear\01) N_studies_with_1_assay_each\Data_mill\Case_03\Condition\VB\Case_03_time_run_04.csv</v>
      </c>
      <c r="AM8" s="71" t="str">
        <f t="shared" si="31"/>
        <v>D:\DPL\ISA3\Example Implementations\NASA Tool Wear\01) N_studies_with_1_assay_each\Data_mill\Case_03\Condition\VB\Case_03_time_run_05.csv</v>
      </c>
      <c r="AN8" s="71" t="str">
        <f t="shared" si="31"/>
        <v>D:\DPL\ISA3\Example Implementations\NASA Tool Wear\01) N_studies_with_1_assay_each\Data_mill\Case_03\Condition\VB\Case_03_time_run_06.csv</v>
      </c>
      <c r="AO8" s="71" t="str">
        <f t="shared" si="31"/>
        <v>D:\DPL\ISA3\Example Implementations\NASA Tool Wear\01) N_studies_with_1_assay_each\Data_mill\Case_03\Condition\VB\Case_03_time_run_07.csv</v>
      </c>
      <c r="AP8" s="71" t="str">
        <f t="shared" si="31"/>
        <v>D:\DPL\ISA3\Example Implementations\NASA Tool Wear\01) N_studies_with_1_assay_each\Data_mill\Case_03\Condition\VB\Case_03_time_run_08.csv</v>
      </c>
      <c r="AQ8" s="71" t="str">
        <f t="shared" si="31"/>
        <v>D:\DPL\ISA3\Example Implementations\NASA Tool Wear\01) N_studies_with_1_assay_each\Data_mill\Case_03\Condition\VB\Case_03_time_run_09.csv</v>
      </c>
      <c r="AR8" s="71" t="str">
        <f t="shared" si="31"/>
        <v>D:\DPL\ISA3\Example Implementations\NASA Tool Wear\01) N_studies_with_1_assay_each\Data_mill\Case_03\Condition\VB\Case_03_time_run_10.csv</v>
      </c>
      <c r="AS8" s="71" t="str">
        <f t="shared" si="31"/>
        <v>D:\DPL\ISA3\Example Implementations\NASA Tool Wear\01) N_studies_with_1_assay_each\Data_mill\Case_03\Condition\VB\Case_03_time_run_11.csv</v>
      </c>
      <c r="AT8" s="71" t="str">
        <f t="shared" si="31"/>
        <v>D:\DPL\ISA3\Example Implementations\NASA Tool Wear\01) N_studies_with_1_assay_each\Data_mill\Case_03\Condition\VB\Case_03_time_run_12.csv</v>
      </c>
      <c r="AU8" s="71" t="str">
        <f t="shared" si="31"/>
        <v>D:\DPL\ISA3\Example Implementations\NASA Tool Wear\01) N_studies_with_1_assay_each\Data_mill\Case_03\Condition\VB\Case_03_time_run_13.csv</v>
      </c>
      <c r="AV8" s="71" t="str">
        <f t="shared" si="31"/>
        <v>D:\DPL\ISA3\Example Implementations\NASA Tool Wear\01) N_studies_with_1_assay_each\Data_mill\Case_03\Condition\VB\Case_03_time_run_14.csv</v>
      </c>
      <c r="AW8" s="71" t="str">
        <f t="shared" si="31"/>
        <v>D:\DPL\ISA3\Example Implementations\NASA Tool Wear\01) N_studies_with_1_assay_each\Data_mill\Case_04\Condition\VB\Case_04_time_run_01.csv</v>
      </c>
      <c r="AX8" s="71" t="str">
        <f t="shared" si="31"/>
        <v>D:\DPL\ISA3\Example Implementations\NASA Tool Wear\01) N_studies_with_1_assay_each\Data_mill\Case_04\Condition\VB\Case_04_time_run_02.csv</v>
      </c>
      <c r="AY8" s="71" t="str">
        <f t="shared" si="31"/>
        <v>D:\DPL\ISA3\Example Implementations\NASA Tool Wear\01) N_studies_with_1_assay_each\Data_mill\Case_04\Condition\VB\Case_04_time_run_03.csv</v>
      </c>
      <c r="AZ8" s="71" t="str">
        <f t="shared" si="31"/>
        <v>D:\DPL\ISA3\Example Implementations\NASA Tool Wear\01) N_studies_with_1_assay_each\Data_mill\Case_04\Condition\VB\Case_04_time_run_04.csv</v>
      </c>
      <c r="BA8" s="71" t="str">
        <f t="shared" si="31"/>
        <v>D:\DPL\ISA3\Example Implementations\NASA Tool Wear\01) N_studies_with_1_assay_each\Data_mill\Case_04\Condition\VB\Case_04_time_run_05.csv</v>
      </c>
      <c r="BB8" s="71" t="str">
        <f t="shared" si="31"/>
        <v>D:\DPL\ISA3\Example Implementations\NASA Tool Wear\01) N_studies_with_1_assay_each\Data_mill\Case_04\Condition\VB\Case_04_time_run_06.csv</v>
      </c>
      <c r="BC8" s="71" t="str">
        <f t="shared" si="31"/>
        <v>D:\DPL\ISA3\Example Implementations\NASA Tool Wear\01) N_studies_with_1_assay_each\Data_mill\Case_04\Condition\VB\Case_04_time_run_07.csv</v>
      </c>
      <c r="BD8" s="71" t="str">
        <f t="shared" si="31"/>
        <v>D:\DPL\ISA3\Example Implementations\NASA Tool Wear\01) N_studies_with_1_assay_each\Data_mill\Case_05\Condition\VB\Case_05_time_run_01.csv</v>
      </c>
      <c r="BE8" s="71" t="str">
        <f t="shared" si="31"/>
        <v>D:\DPL\ISA3\Example Implementations\NASA Tool Wear\01) N_studies_with_1_assay_each\Data_mill\Case_05\Condition\VB\Case_05_time_run_02.csv</v>
      </c>
      <c r="BF8" s="71" t="str">
        <f t="shared" si="31"/>
        <v>D:\DPL\ISA3\Example Implementations\NASA Tool Wear\01) N_studies_with_1_assay_each\Data_mill\Case_05\Condition\VB\Case_05_time_run_03.csv</v>
      </c>
      <c r="BG8" s="71" t="str">
        <f t="shared" si="31"/>
        <v>D:\DPL\ISA3\Example Implementations\NASA Tool Wear\01) N_studies_with_1_assay_each\Data_mill\Case_05\Condition\VB\Case_05_time_run_04.csv</v>
      </c>
      <c r="BH8" s="71" t="str">
        <f t="shared" si="31"/>
        <v>D:\DPL\ISA3\Example Implementations\NASA Tool Wear\01) N_studies_with_1_assay_each\Data_mill\Case_05\Condition\VB\Case_05_time_run_05.csv</v>
      </c>
      <c r="BI8" s="71" t="str">
        <f t="shared" si="31"/>
        <v>D:\DPL\ISA3\Example Implementations\NASA Tool Wear\01) N_studies_with_1_assay_each\Data_mill\Case_05\Condition\VB\Case_05_time_run_06.csv</v>
      </c>
      <c r="BJ8" s="71" t="str">
        <f t="shared" si="31"/>
        <v>D:\DPL\ISA3\Example Implementations\NASA Tool Wear\01) N_studies_with_1_assay_each\Data_mill\Case_06\Condition\VB\Case_06_time_run_01.csv</v>
      </c>
      <c r="BK8" s="71" t="str">
        <f t="shared" si="31"/>
        <v>D:\DPL\ISA3\Example Implementations\NASA Tool Wear\01) N_studies_with_1_assay_each\Data_mill\Case_07\Condition\VB\Case_07_time_run_01.csv</v>
      </c>
      <c r="BL8" s="71" t="str">
        <f t="shared" si="31"/>
        <v>D:\DPL\ISA3\Example Implementations\NASA Tool Wear\01) N_studies_with_1_assay_each\Data_mill\Case_07\Condition\VB\Case_07_time_run_02.csv</v>
      </c>
      <c r="BM8" s="71" t="str">
        <f t="shared" si="31"/>
        <v>D:\DPL\ISA3\Example Implementations\NASA Tool Wear\01) N_studies_with_1_assay_each\Data_mill\Case_07\Condition\VB\Case_07_time_run_03.csv</v>
      </c>
      <c r="BN8" s="71" t="str">
        <f t="shared" si="31"/>
        <v>D:\DPL\ISA3\Example Implementations\NASA Tool Wear\01) N_studies_with_1_assay_each\Data_mill\Case_07\Condition\VB\Case_07_time_run_04.csv</v>
      </c>
      <c r="BO8" s="71" t="str">
        <f t="shared" si="31"/>
        <v>D:\DPL\ISA3\Example Implementations\NASA Tool Wear\01) N_studies_with_1_assay_each\Data_mill\Case_07\Condition\VB\Case_07_time_run_05.csv</v>
      </c>
      <c r="BP8" s="71" t="str">
        <f t="shared" ref="BP8:CU8" si="32">"D:\DPL\ISA3\Example Implementations\NASA Tool Wear\01) N_studies_with_1_assay_each\Data_mill\Case_"&amp;_xlfn.TEXTAFTER(BP$1,"s")&amp;"\Condition\VB\Case_"&amp;_xlfn.TEXTAFTER(BP$1,"s")&amp;"_time_run_"&amp;_xlfn.TEXTAFTER(BP$2,"Run ")&amp;".csv"</f>
        <v>D:\DPL\ISA3\Example Implementations\NASA Tool Wear\01) N_studies_with_1_assay_each\Data_mill\Case_07\Condition\VB\Case_07_time_run_06.csv</v>
      </c>
      <c r="BQ8" s="71" t="str">
        <f t="shared" si="32"/>
        <v>D:\DPL\ISA3\Example Implementations\NASA Tool Wear\01) N_studies_with_1_assay_each\Data_mill\Case_07\Condition\VB\Case_07_time_run_07.csv</v>
      </c>
      <c r="BR8" s="71" t="str">
        <f t="shared" si="32"/>
        <v>D:\DPL\ISA3\Example Implementations\NASA Tool Wear\01) N_studies_with_1_assay_each\Data_mill\Case_07\Condition\VB\Case_07_time_run_08.csv</v>
      </c>
      <c r="BS8" s="71" t="str">
        <f t="shared" si="32"/>
        <v>D:\DPL\ISA3\Example Implementations\NASA Tool Wear\01) N_studies_with_1_assay_each\Data_mill\Case_08\Condition\VB\Case_08_time_run_01.csv</v>
      </c>
      <c r="BT8" s="71" t="str">
        <f t="shared" si="32"/>
        <v>D:\DPL\ISA3\Example Implementations\NASA Tool Wear\01) N_studies_with_1_assay_each\Data_mill\Case_08\Condition\VB\Case_08_time_run_02.csv</v>
      </c>
      <c r="BU8" s="71" t="str">
        <f t="shared" si="32"/>
        <v>D:\DPL\ISA3\Example Implementations\NASA Tool Wear\01) N_studies_with_1_assay_each\Data_mill\Case_08\Condition\VB\Case_08_time_run_03.csv</v>
      </c>
      <c r="BV8" s="71" t="str">
        <f t="shared" si="32"/>
        <v>D:\DPL\ISA3\Example Implementations\NASA Tool Wear\01) N_studies_with_1_assay_each\Data_mill\Case_08\Condition\VB\Case_08_time_run_04.csv</v>
      </c>
      <c r="BW8" s="71" t="str">
        <f t="shared" si="32"/>
        <v>D:\DPL\ISA3\Example Implementations\NASA Tool Wear\01) N_studies_with_1_assay_each\Data_mill\Case_08\Condition\VB\Case_08_time_run_05.csv</v>
      </c>
      <c r="BX8" s="71" t="str">
        <f t="shared" si="32"/>
        <v>D:\DPL\ISA3\Example Implementations\NASA Tool Wear\01) N_studies_with_1_assay_each\Data_mill\Case_08\Condition\VB\Case_08_time_run_06.csv</v>
      </c>
      <c r="BY8" s="71" t="str">
        <f t="shared" si="32"/>
        <v>D:\DPL\ISA3\Example Implementations\NASA Tool Wear\01) N_studies_with_1_assay_each\Data_mill\Case_09\Condition\VB\Case_09_time_run_01.csv</v>
      </c>
      <c r="BZ8" s="71" t="str">
        <f t="shared" si="32"/>
        <v>D:\DPL\ISA3\Example Implementations\NASA Tool Wear\01) N_studies_with_1_assay_each\Data_mill\Case_09\Condition\VB\Case_09_time_run_02.csv</v>
      </c>
      <c r="CA8" s="71" t="str">
        <f t="shared" si="32"/>
        <v>D:\DPL\ISA3\Example Implementations\NASA Tool Wear\01) N_studies_with_1_assay_each\Data_mill\Case_09\Condition\VB\Case_09_time_run_03.csv</v>
      </c>
      <c r="CB8" s="71" t="str">
        <f t="shared" si="32"/>
        <v>D:\DPL\ISA3\Example Implementations\NASA Tool Wear\01) N_studies_with_1_assay_each\Data_mill\Case_09\Condition\VB\Case_09_time_run_04.csv</v>
      </c>
      <c r="CC8" s="71" t="str">
        <f t="shared" si="32"/>
        <v>D:\DPL\ISA3\Example Implementations\NASA Tool Wear\01) N_studies_with_1_assay_each\Data_mill\Case_09\Condition\VB\Case_09_time_run_05.csv</v>
      </c>
      <c r="CD8" s="71" t="str">
        <f t="shared" si="32"/>
        <v>D:\DPL\ISA3\Example Implementations\NASA Tool Wear\01) N_studies_with_1_assay_each\Data_mill\Case_09\Condition\VB\Case_09_time_run_06.csv</v>
      </c>
      <c r="CE8" s="71" t="str">
        <f t="shared" si="32"/>
        <v>D:\DPL\ISA3\Example Implementations\NASA Tool Wear\01) N_studies_with_1_assay_each\Data_mill\Case_09\Condition\VB\Case_09_time_run_07.csv</v>
      </c>
      <c r="CF8" s="71" t="str">
        <f t="shared" si="32"/>
        <v>D:\DPL\ISA3\Example Implementations\NASA Tool Wear\01) N_studies_with_1_assay_each\Data_mill\Case_09\Condition\VB\Case_09_time_run_08.csv</v>
      </c>
      <c r="CG8" s="71" t="str">
        <f t="shared" si="32"/>
        <v>D:\DPL\ISA3\Example Implementations\NASA Tool Wear\01) N_studies_with_1_assay_each\Data_mill\Case_09\Condition\VB\Case_09_time_run_09.csv</v>
      </c>
      <c r="CH8" s="71" t="str">
        <f t="shared" si="32"/>
        <v>D:\DPL\ISA3\Example Implementations\NASA Tool Wear\01) N_studies_with_1_assay_each\Data_mill\Case_10\Condition\VB\Case_10_time_run_01.csv</v>
      </c>
      <c r="CI8" s="71" t="str">
        <f t="shared" si="32"/>
        <v>D:\DPL\ISA3\Example Implementations\NASA Tool Wear\01) N_studies_with_1_assay_each\Data_mill\Case_10\Condition\VB\Case_10_time_run_02.csv</v>
      </c>
      <c r="CJ8" s="71" t="str">
        <f t="shared" si="32"/>
        <v>D:\DPL\ISA3\Example Implementations\NASA Tool Wear\01) N_studies_with_1_assay_each\Data_mill\Case_10\Condition\VB\Case_10_time_run_03.csv</v>
      </c>
      <c r="CK8" s="71" t="str">
        <f t="shared" si="32"/>
        <v>D:\DPL\ISA3\Example Implementations\NASA Tool Wear\01) N_studies_with_1_assay_each\Data_mill\Case_10\Condition\VB\Case_10_time_run_04.csv</v>
      </c>
      <c r="CL8" s="71" t="str">
        <f t="shared" si="32"/>
        <v>D:\DPL\ISA3\Example Implementations\NASA Tool Wear\01) N_studies_with_1_assay_each\Data_mill\Case_10\Condition\VB\Case_10_time_run_05.csv</v>
      </c>
      <c r="CM8" s="71" t="str">
        <f t="shared" si="32"/>
        <v>D:\DPL\ISA3\Example Implementations\NASA Tool Wear\01) N_studies_with_1_assay_each\Data_mill\Case_10\Condition\VB\Case_10_time_run_06.csv</v>
      </c>
      <c r="CN8" s="71" t="str">
        <f t="shared" si="32"/>
        <v>D:\DPL\ISA3\Example Implementations\NASA Tool Wear\01) N_studies_with_1_assay_each\Data_mill\Case_10\Condition\VB\Case_10_time_run_07.csv</v>
      </c>
      <c r="CO8" s="71" t="str">
        <f t="shared" si="32"/>
        <v>D:\DPL\ISA3\Example Implementations\NASA Tool Wear\01) N_studies_with_1_assay_each\Data_mill\Case_10\Condition\VB\Case_10_time_run_08.csv</v>
      </c>
      <c r="CP8" s="71" t="str">
        <f t="shared" si="32"/>
        <v>D:\DPL\ISA3\Example Implementations\NASA Tool Wear\01) N_studies_with_1_assay_each\Data_mill\Case_10\Condition\VB\Case_10_time_run_09.csv</v>
      </c>
      <c r="CQ8" s="71" t="str">
        <f t="shared" si="32"/>
        <v>D:\DPL\ISA3\Example Implementations\NASA Tool Wear\01) N_studies_with_1_assay_each\Data_mill\Case_10\Condition\VB\Case_10_time_run_10.csv</v>
      </c>
      <c r="CR8" s="71" t="str">
        <f t="shared" si="32"/>
        <v>D:\DPL\ISA3\Example Implementations\NASA Tool Wear\01) N_studies_with_1_assay_each\Data_mill\Case_11\Condition\VB\Case_11_time_run_01.csv</v>
      </c>
      <c r="CS8" s="71" t="str">
        <f t="shared" si="32"/>
        <v>D:\DPL\ISA3\Example Implementations\NASA Tool Wear\01) N_studies_with_1_assay_each\Data_mill\Case_11\Condition\VB\Case_11_time_run_02.csv</v>
      </c>
      <c r="CT8" s="71" t="str">
        <f t="shared" si="32"/>
        <v>D:\DPL\ISA3\Example Implementations\NASA Tool Wear\01) N_studies_with_1_assay_each\Data_mill\Case_11\Condition\VB\Case_11_time_run_03.csv</v>
      </c>
      <c r="CU8" s="71" t="str">
        <f t="shared" si="32"/>
        <v>D:\DPL\ISA3\Example Implementations\NASA Tool Wear\01) N_studies_with_1_assay_each\Data_mill\Case_11\Condition\VB\Case_11_time_run_04.csv</v>
      </c>
      <c r="CV8" s="71" t="str">
        <f t="shared" ref="CV8:EC8" si="33">"D:\DPL\ISA3\Example Implementations\NASA Tool Wear\01) N_studies_with_1_assay_each\Data_mill\Case_"&amp;_xlfn.TEXTAFTER(CV$1,"s")&amp;"\Condition\VB\Case_"&amp;_xlfn.TEXTAFTER(CV$1,"s")&amp;"_time_run_"&amp;_xlfn.TEXTAFTER(CV$2,"Run ")&amp;".csv"</f>
        <v>D:\DPL\ISA3\Example Implementations\NASA Tool Wear\01) N_studies_with_1_assay_each\Data_mill\Case_11\Condition\VB\Case_11_time_run_05.csv</v>
      </c>
      <c r="CW8" s="71" t="str">
        <f t="shared" si="33"/>
        <v>D:\DPL\ISA3\Example Implementations\NASA Tool Wear\01) N_studies_with_1_assay_each\Data_mill\Case_11\Condition\VB\Case_11_time_run_06.csv</v>
      </c>
      <c r="CX8" s="71" t="str">
        <f t="shared" si="33"/>
        <v>D:\DPL\ISA3\Example Implementations\NASA Tool Wear\01) N_studies_with_1_assay_each\Data_mill\Case_11\Condition\VB\Case_11_time_run_07.csv</v>
      </c>
      <c r="CY8" s="71" t="str">
        <f t="shared" si="33"/>
        <v>D:\DPL\ISA3\Example Implementations\NASA Tool Wear\01) N_studies_with_1_assay_each\Data_mill\Case_11\Condition\VB\Case_11_time_run_08.csv</v>
      </c>
      <c r="CZ8" s="71" t="str">
        <f t="shared" si="33"/>
        <v>D:\DPL\ISA3\Example Implementations\NASA Tool Wear\01) N_studies_with_1_assay_each\Data_mill\Case_11\Condition\VB\Case_11_time_run_09.csv</v>
      </c>
      <c r="DA8" s="71" t="str">
        <f t="shared" si="33"/>
        <v>D:\DPL\ISA3\Example Implementations\NASA Tool Wear\01) N_studies_with_1_assay_each\Data_mill\Case_11\Condition\VB\Case_11_time_run_10.csv</v>
      </c>
      <c r="DB8" s="71" t="str">
        <f t="shared" si="33"/>
        <v>D:\DPL\ISA3\Example Implementations\NASA Tool Wear\01) N_studies_with_1_assay_each\Data_mill\Case_11\Condition\VB\Case_11_time_run_11.csv</v>
      </c>
      <c r="DC8" s="71" t="str">
        <f t="shared" si="33"/>
        <v>D:\DPL\ISA3\Example Implementations\NASA Tool Wear\01) N_studies_with_1_assay_each\Data_mill\Case_11\Condition\VB\Case_11_time_run_12.csv</v>
      </c>
      <c r="DD8" s="71" t="str">
        <f t="shared" si="33"/>
        <v>D:\DPL\ISA3\Example Implementations\NASA Tool Wear\01) N_studies_with_1_assay_each\Data_mill\Case_11\Condition\VB\Case_11_time_run_13.csv</v>
      </c>
      <c r="DE8" s="71" t="str">
        <f t="shared" si="33"/>
        <v>D:\DPL\ISA3\Example Implementations\NASA Tool Wear\01) N_studies_with_1_assay_each\Data_mill\Case_11\Condition\VB\Case_11_time_run_14.csv</v>
      </c>
      <c r="DF8" s="71" t="str">
        <f t="shared" si="33"/>
        <v>D:\DPL\ISA3\Example Implementations\NASA Tool Wear\01) N_studies_with_1_assay_each\Data_mill\Case_11\Condition\VB\Case_11_time_run_15.csv</v>
      </c>
      <c r="DG8" s="71" t="str">
        <f t="shared" si="33"/>
        <v>D:\DPL\ISA3\Example Implementations\NASA Tool Wear\01) N_studies_with_1_assay_each\Data_mill\Case_11\Condition\VB\Case_11_time_run_16.csv</v>
      </c>
      <c r="DH8" s="71" t="str">
        <f t="shared" si="33"/>
        <v>D:\DPL\ISA3\Example Implementations\NASA Tool Wear\01) N_studies_with_1_assay_each\Data_mill\Case_11\Condition\VB\Case_11_time_run_17.csv</v>
      </c>
      <c r="DI8" s="71" t="str">
        <f t="shared" si="33"/>
        <v>D:\DPL\ISA3\Example Implementations\NASA Tool Wear\01) N_studies_with_1_assay_each\Data_mill\Case_11\Condition\VB\Case_11_time_run_18.csv</v>
      </c>
      <c r="DJ8" s="71" t="str">
        <f t="shared" si="33"/>
        <v>D:\DPL\ISA3\Example Implementations\NASA Tool Wear\01) N_studies_with_1_assay_each\Data_mill\Case_11\Condition\VB\Case_11_time_run_19.csv</v>
      </c>
      <c r="DK8" s="71" t="str">
        <f t="shared" si="33"/>
        <v>D:\DPL\ISA3\Example Implementations\NASA Tool Wear\01) N_studies_with_1_assay_each\Data_mill\Case_11\Condition\VB\Case_11_time_run_20.csv</v>
      </c>
      <c r="DL8" s="71" t="str">
        <f t="shared" si="33"/>
        <v>D:\DPL\ISA3\Example Implementations\NASA Tool Wear\01) N_studies_with_1_assay_each\Data_mill\Case_11\Condition\VB\Case_11_time_run_21.csv</v>
      </c>
      <c r="DM8" s="71" t="str">
        <f t="shared" si="33"/>
        <v>D:\DPL\ISA3\Example Implementations\NASA Tool Wear\01) N_studies_with_1_assay_each\Data_mill\Case_11\Condition\VB\Case_11_time_run_22.csv</v>
      </c>
      <c r="DN8" s="71" t="str">
        <f t="shared" si="33"/>
        <v>D:\DPL\ISA3\Example Implementations\NASA Tool Wear\01) N_studies_with_1_assay_each\Data_mill\Case_11\Condition\VB\Case_11_time_run_23.csv</v>
      </c>
      <c r="DO8" s="71" t="str">
        <f t="shared" si="33"/>
        <v>D:\DPL\ISA3\Example Implementations\NASA Tool Wear\01) N_studies_with_1_assay_each\Data_mill\Case_12\Condition\VB\Case_12_time_run_01.csv</v>
      </c>
      <c r="DP8" s="71" t="str">
        <f t="shared" si="33"/>
        <v>D:\DPL\ISA3\Example Implementations\NASA Tool Wear\01) N_studies_with_1_assay_each\Data_mill\Case_12\Condition\VB\Case_12_time_run_02.csv</v>
      </c>
      <c r="DQ8" s="71" t="str">
        <f t="shared" si="33"/>
        <v>D:\DPL\ISA3\Example Implementations\NASA Tool Wear\01) N_studies_with_1_assay_each\Data_mill\Case_12\Condition\VB\Case_12_time_run_03.csv</v>
      </c>
      <c r="DR8" s="71" t="str">
        <f t="shared" si="33"/>
        <v>D:\DPL\ISA3\Example Implementations\NASA Tool Wear\01) N_studies_with_1_assay_each\Data_mill\Case_12\Condition\VB\Case_12_time_run_04.csv</v>
      </c>
      <c r="DS8" s="71" t="str">
        <f t="shared" si="33"/>
        <v>D:\DPL\ISA3\Example Implementations\NASA Tool Wear\01) N_studies_with_1_assay_each\Data_mill\Case_12\Condition\VB\Case_12_time_run_05.csv</v>
      </c>
      <c r="DT8" s="71" t="str">
        <f t="shared" si="33"/>
        <v>D:\DPL\ISA3\Example Implementations\NASA Tool Wear\01) N_studies_with_1_assay_each\Data_mill\Case_12\Condition\VB\Case_12_time_run_06.csv</v>
      </c>
      <c r="DU8" s="71" t="str">
        <f t="shared" si="33"/>
        <v>D:\DPL\ISA3\Example Implementations\NASA Tool Wear\01) N_studies_with_1_assay_each\Data_mill\Case_12\Condition\VB\Case_12_time_run_07.csv</v>
      </c>
      <c r="DV8" s="71" t="str">
        <f t="shared" si="33"/>
        <v>D:\DPL\ISA3\Example Implementations\NASA Tool Wear\01) N_studies_with_1_assay_each\Data_mill\Case_12\Condition\VB\Case_12_time_run_08.csv</v>
      </c>
      <c r="DW8" s="71" t="str">
        <f t="shared" si="33"/>
        <v>D:\DPL\ISA3\Example Implementations\NASA Tool Wear\01) N_studies_with_1_assay_each\Data_mill\Case_12\Condition\VB\Case_12_time_run_09.csv</v>
      </c>
      <c r="DX8" s="71" t="str">
        <f t="shared" si="33"/>
        <v>D:\DPL\ISA3\Example Implementations\NASA Tool Wear\01) N_studies_with_1_assay_each\Data_mill\Case_12\Condition\VB\Case_12_time_run_10.csv</v>
      </c>
      <c r="DY8" s="71" t="str">
        <f t="shared" si="33"/>
        <v>D:\DPL\ISA3\Example Implementations\NASA Tool Wear\01) N_studies_with_1_assay_each\Data_mill\Case_12\Condition\VB\Case_12_time_run_11.csv</v>
      </c>
      <c r="DZ8" s="71" t="str">
        <f t="shared" si="33"/>
        <v>D:\DPL\ISA3\Example Implementations\NASA Tool Wear\01) N_studies_with_1_assay_each\Data_mill\Case_12\Condition\VB\Case_12_time_run_12.csv</v>
      </c>
      <c r="EA8" s="71" t="str">
        <f t="shared" si="33"/>
        <v>D:\DPL\ISA3\Example Implementations\NASA Tool Wear\01) N_studies_with_1_assay_each\Data_mill\Case_12\Condition\VB\Case_12_time_run_13.csv</v>
      </c>
      <c r="EB8" s="71" t="str">
        <f t="shared" si="33"/>
        <v>D:\DPL\ISA3\Example Implementations\NASA Tool Wear\01) N_studies_with_1_assay_each\Data_mill\Case_12\Condition\VB\Case_12_time_run_14.csv</v>
      </c>
      <c r="EC8" s="71" t="str">
        <f t="shared" si="33"/>
        <v>D:\DPL\ISA3\Example Implementations\NASA Tool Wear\01) N_studies_with_1_assay_each\Data_mill\Case_12\Condition\VB\Case_12_time_run_15.csv</v>
      </c>
      <c r="ED8" s="71" t="str">
        <f t="shared" ref="ED8:ER8" si="34">"D:\DPL\ISA3\Example Implementations\NASA Tool Wear\01) N_studies_with_1_assay_each\Data_mill\Case_"&amp;_xlfn.TEXTAFTER(ED$1,"s")&amp;"\Condition\VB\Case_"&amp;_xlfn.TEXTAFTER(ED$1,"s")&amp;"_time_run_"&amp;_xlfn.TEXTAFTER(ED$2,"Run ")&amp;".csv"</f>
        <v>D:\DPL\ISA3\Example Implementations\NASA Tool Wear\01) N_studies_with_1_assay_each\Data_mill\Case_13\Condition\VB\Case_13_time_run_01.csv</v>
      </c>
      <c r="EE8" s="71" t="str">
        <f t="shared" si="34"/>
        <v>D:\DPL\ISA3\Example Implementations\NASA Tool Wear\01) N_studies_with_1_assay_each\Data_mill\Case_13\Condition\VB\Case_13_time_run_02.csv</v>
      </c>
      <c r="EF8" s="71" t="str">
        <f t="shared" si="34"/>
        <v>D:\DPL\ISA3\Example Implementations\NASA Tool Wear\01) N_studies_with_1_assay_each\Data_mill\Case_13\Condition\VB\Case_13_time_run_03.csv</v>
      </c>
      <c r="EG8" s="71" t="str">
        <f t="shared" si="34"/>
        <v>D:\DPL\ISA3\Example Implementations\NASA Tool Wear\01) N_studies_with_1_assay_each\Data_mill\Case_13\Condition\VB\Case_13_time_run_04.csv</v>
      </c>
      <c r="EH8" s="71" t="str">
        <f t="shared" si="34"/>
        <v>D:\DPL\ISA3\Example Implementations\NASA Tool Wear\01) N_studies_with_1_assay_each\Data_mill\Case_13\Condition\VB\Case_13_time_run_05.csv</v>
      </c>
      <c r="EI8" s="71" t="str">
        <f t="shared" si="34"/>
        <v>D:\DPL\ISA3\Example Implementations\NASA Tool Wear\01) N_studies_with_1_assay_each\Data_mill\Case_13\Condition\VB\Case_13_time_run_06.csv</v>
      </c>
      <c r="EJ8" s="71" t="str">
        <f t="shared" si="34"/>
        <v>D:\DPL\ISA3\Example Implementations\NASA Tool Wear\01) N_studies_with_1_assay_each\Data_mill\Case_13\Condition\VB\Case_13_time_run_07.csv</v>
      </c>
      <c r="EK8" s="71" t="str">
        <f t="shared" si="34"/>
        <v>D:\DPL\ISA3\Example Implementations\NASA Tool Wear\01) N_studies_with_1_assay_each\Data_mill\Case_13\Condition\VB\Case_13_time_run_08.csv</v>
      </c>
      <c r="EL8" s="71" t="str">
        <f t="shared" si="34"/>
        <v>D:\DPL\ISA3\Example Implementations\NASA Tool Wear\01) N_studies_with_1_assay_each\Data_mill\Case_13\Condition\VB\Case_13_time_run_09.csv</v>
      </c>
      <c r="EM8" s="71" t="str">
        <f t="shared" si="34"/>
        <v>D:\DPL\ISA3\Example Implementations\NASA Tool Wear\01) N_studies_with_1_assay_each\Data_mill\Case_13\Condition\VB\Case_13_time_run_10.csv</v>
      </c>
      <c r="EN8" s="71" t="str">
        <f t="shared" si="34"/>
        <v>D:\DPL\ISA3\Example Implementations\NASA Tool Wear\01) N_studies_with_1_assay_each\Data_mill\Case_13\Condition\VB\Case_13_time_run_11.csv</v>
      </c>
      <c r="EO8" s="71" t="str">
        <f t="shared" si="34"/>
        <v>D:\DPL\ISA3\Example Implementations\NASA Tool Wear\01) N_studies_with_1_assay_each\Data_mill\Case_13\Condition\VB\Case_13_time_run_12.csv</v>
      </c>
      <c r="EP8" s="71" t="str">
        <f t="shared" si="34"/>
        <v>D:\DPL\ISA3\Example Implementations\NASA Tool Wear\01) N_studies_with_1_assay_each\Data_mill\Case_13\Condition\VB\Case_13_time_run_13.csv</v>
      </c>
      <c r="EQ8" s="71" t="str">
        <f t="shared" si="34"/>
        <v>D:\DPL\ISA3\Example Implementations\NASA Tool Wear\01) N_studies_with_1_assay_each\Data_mill\Case_13\Condition\VB\Case_13_time_run_14.csv</v>
      </c>
      <c r="ER8" s="71" t="str">
        <f t="shared" si="34"/>
        <v>D:\DPL\ISA3\Example Implementations\NASA Tool Wear\01) N_studies_with_1_assay_each\Data_mill\Case_13\Condition\VB\Case_13_time_run_15.csv</v>
      </c>
      <c r="ES8" s="71" t="str">
        <f t="shared" ref="ES8:FM8" si="35">"D:\DPL\ISA3\Example Implementations\NASA Tool Wear\01) N_studies_with_1_assay_each\Data_mill\Case_"&amp;_xlfn.TEXTAFTER(ES$1,"s")&amp;"\Condition\VB\Case_"&amp;_xlfn.TEXTAFTER(ES$1,"s")&amp;"_time_run_"&amp;_xlfn.TEXTAFTER(ES$2,"Run ")&amp;".csv"</f>
        <v>D:\DPL\ISA3\Example Implementations\NASA Tool Wear\01) N_studies_with_1_assay_each\Data_mill\Case_14\Condition\VB\Case_14_time_run_01.csv</v>
      </c>
      <c r="ET8" s="71" t="str">
        <f t="shared" si="35"/>
        <v>D:\DPL\ISA3\Example Implementations\NASA Tool Wear\01) N_studies_with_1_assay_each\Data_mill\Case_14\Condition\VB\Case_14_time_run_02.csv</v>
      </c>
      <c r="EU8" s="71" t="str">
        <f t="shared" si="35"/>
        <v>D:\DPL\ISA3\Example Implementations\NASA Tool Wear\01) N_studies_with_1_assay_each\Data_mill\Case_14\Condition\VB\Case_14_time_run_03.csv</v>
      </c>
      <c r="EV8" s="71" t="str">
        <f t="shared" si="35"/>
        <v>D:\DPL\ISA3\Example Implementations\NASA Tool Wear\01) N_studies_with_1_assay_each\Data_mill\Case_14\Condition\VB\Case_14_time_run_04.csv</v>
      </c>
      <c r="EW8" s="71" t="str">
        <f t="shared" si="35"/>
        <v>D:\DPL\ISA3\Example Implementations\NASA Tool Wear\01) N_studies_with_1_assay_each\Data_mill\Case_14\Condition\VB\Case_14_time_run_05.csv</v>
      </c>
      <c r="EX8" s="71" t="str">
        <f t="shared" si="35"/>
        <v>D:\DPL\ISA3\Example Implementations\NASA Tool Wear\01) N_studies_with_1_assay_each\Data_mill\Case_14\Condition\VB\Case_14_time_run_06.csv</v>
      </c>
      <c r="EY8" s="71" t="str">
        <f t="shared" si="35"/>
        <v>D:\DPL\ISA3\Example Implementations\NASA Tool Wear\01) N_studies_with_1_assay_each\Data_mill\Case_14\Condition\VB\Case_14_time_run_07.csv</v>
      </c>
      <c r="EZ8" s="71" t="str">
        <f t="shared" si="35"/>
        <v>D:\DPL\ISA3\Example Implementations\NASA Tool Wear\01) N_studies_with_1_assay_each\Data_mill\Case_14\Condition\VB\Case_14_time_run_08.csv</v>
      </c>
      <c r="FA8" s="71" t="str">
        <f t="shared" si="35"/>
        <v>D:\DPL\ISA3\Example Implementations\NASA Tool Wear\01) N_studies_with_1_assay_each\Data_mill\Case_14\Condition\VB\Case_14_time_run_09.csv</v>
      </c>
      <c r="FB8" s="71" t="str">
        <f t="shared" si="35"/>
        <v>D:\DPL\ISA3\Example Implementations\NASA Tool Wear\01) N_studies_with_1_assay_each\Data_mill\Case_15\Condition\VB\Case_15_time_run_01.csv</v>
      </c>
      <c r="FC8" s="71" t="str">
        <f t="shared" si="35"/>
        <v>D:\DPL\ISA3\Example Implementations\NASA Tool Wear\01) N_studies_with_1_assay_each\Data_mill\Case_15\Condition\VB\Case_15_time_run_02.csv</v>
      </c>
      <c r="FD8" s="71" t="str">
        <f t="shared" si="35"/>
        <v>D:\DPL\ISA3\Example Implementations\NASA Tool Wear\01) N_studies_with_1_assay_each\Data_mill\Case_15\Condition\VB\Case_15_time_run_03.csv</v>
      </c>
      <c r="FE8" s="71" t="str">
        <f t="shared" si="35"/>
        <v>D:\DPL\ISA3\Example Implementations\NASA Tool Wear\01) N_studies_with_1_assay_each\Data_mill\Case_15\Condition\VB\Case_15_time_run_04.csv</v>
      </c>
      <c r="FF8" s="71" t="str">
        <f t="shared" si="35"/>
        <v>D:\DPL\ISA3\Example Implementations\NASA Tool Wear\01) N_studies_with_1_assay_each\Data_mill\Case_15\Condition\VB\Case_15_time_run_05.csv</v>
      </c>
      <c r="FG8" s="71" t="str">
        <f t="shared" si="35"/>
        <v>D:\DPL\ISA3\Example Implementations\NASA Tool Wear\01) N_studies_with_1_assay_each\Data_mill\Case_15\Condition\VB\Case_15_time_run_06.csv</v>
      </c>
      <c r="FH8" s="71" t="str">
        <f t="shared" si="35"/>
        <v>D:\DPL\ISA3\Example Implementations\NASA Tool Wear\01) N_studies_with_1_assay_each\Data_mill\Case_16\Condition\VB\Case_16_time_run_01.csv</v>
      </c>
      <c r="FI8" s="71" t="str">
        <f t="shared" si="35"/>
        <v>D:\DPL\ISA3\Example Implementations\NASA Tool Wear\01) N_studies_with_1_assay_each\Data_mill\Case_16\Condition\VB\Case_16_time_run_02.csv</v>
      </c>
      <c r="FJ8" s="71" t="str">
        <f t="shared" si="35"/>
        <v>D:\DPL\ISA3\Example Implementations\NASA Tool Wear\01) N_studies_with_1_assay_each\Data_mill\Case_16\Condition\VB\Case_16_time_run_03.csv</v>
      </c>
      <c r="FK8" s="71" t="str">
        <f t="shared" si="35"/>
        <v>D:\DPL\ISA3\Example Implementations\NASA Tool Wear\01) N_studies_with_1_assay_each\Data_mill\Case_16\Condition\VB\Case_16_time_run_04.csv</v>
      </c>
      <c r="FL8" s="71" t="str">
        <f t="shared" si="35"/>
        <v>D:\DPL\ISA3\Example Implementations\NASA Tool Wear\01) N_studies_with_1_assay_each\Data_mill\Case_16\Condition\VB\Case_16_time_run_05.csv</v>
      </c>
      <c r="FM8" s="71" t="str">
        <f t="shared" si="35"/>
        <v>D:\DPL\ISA3\Example Implementations\NASA Tool Wear\01) N_studies_with_1_assay_each\Data_mill\Case_16\Condition\VB\Case_16_time_run_06.csv</v>
      </c>
      <c r="FN8" s="71"/>
    </row>
    <row r="17" spans="9:9" x14ac:dyDescent="0.3">
      <c r="I17" s="2"/>
    </row>
    <row r="19" spans="9:9" x14ac:dyDescent="0.3">
      <c r="I19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BCF8F-E0BB-491A-A215-042333E425A1}">
  <sheetPr codeName="Blad6"/>
  <dimension ref="A1:DG16"/>
  <sheetViews>
    <sheetView zoomScale="90" zoomScaleNormal="90" workbookViewId="0">
      <selection activeCell="B2" sqref="B2"/>
    </sheetView>
  </sheetViews>
  <sheetFormatPr defaultRowHeight="14.4" x14ac:dyDescent="0.3"/>
  <cols>
    <col min="1" max="1" width="21.33203125" style="16" customWidth="1"/>
    <col min="2" max="2" width="35.44140625" style="16" bestFit="1" customWidth="1"/>
    <col min="3" max="3" width="4.6640625" style="16" bestFit="1" customWidth="1"/>
    <col min="4" max="4" width="35.44140625" bestFit="1" customWidth="1"/>
    <col min="5" max="5" width="4.6640625" style="16" bestFit="1" customWidth="1"/>
    <col min="6" max="6" width="35.44140625" bestFit="1" customWidth="1"/>
    <col min="7" max="7" width="4.6640625" style="16" bestFit="1" customWidth="1"/>
    <col min="8" max="8" width="23.6640625" bestFit="1" customWidth="1"/>
    <col min="9" max="9" width="4.6640625" style="16" bestFit="1" customWidth="1"/>
    <col min="10" max="10" width="23.6640625" bestFit="1" customWidth="1"/>
    <col min="11" max="11" width="4.6640625" style="16" bestFit="1" customWidth="1"/>
    <col min="12" max="12" width="40.5546875" bestFit="1" customWidth="1"/>
    <col min="13" max="13" width="4.6640625" style="16" bestFit="1" customWidth="1"/>
    <col min="14" max="14" width="40.5546875" bestFit="1" customWidth="1"/>
    <col min="15" max="15" width="4.6640625" style="16" bestFit="1" customWidth="1"/>
    <col min="16" max="16" width="40.5546875" bestFit="1" customWidth="1"/>
    <col min="17" max="17" width="4.6640625" style="16" bestFit="1" customWidth="1"/>
    <col min="18" max="18" width="40.5546875" bestFit="1" customWidth="1"/>
    <col min="19" max="19" width="4.6640625" style="16" bestFit="1" customWidth="1"/>
    <col min="20" max="20" width="40.5546875" bestFit="1" customWidth="1"/>
    <col min="21" max="21" width="4.6640625" style="16" bestFit="1" customWidth="1"/>
    <col min="22" max="22" width="40.5546875" bestFit="1" customWidth="1"/>
    <col min="23" max="23" width="4.6640625" style="16" bestFit="1" customWidth="1"/>
  </cols>
  <sheetData>
    <row r="1" spans="1:111" s="25" customFormat="1" x14ac:dyDescent="0.3">
      <c r="A1" s="49"/>
      <c r="B1" s="74" t="str" cm="1">
        <f t="array" aca="1" ref="B1" ca="1">IF(INDIRECT("'Measurement Details'!B" &amp; COLUMN()/2 + 1)="", "", INDIRECT("'Measurement Details'!B" &amp; COLUMN()/2 + 1))</f>
        <v>vib_table</v>
      </c>
      <c r="C1" s="74"/>
      <c r="D1" s="74" t="str" cm="1">
        <f t="array" aca="1" ref="D1" ca="1">IF(INDIRECT("'Measurement Details'!B" &amp; COLUMN()/2 + 1)="", "", INDIRECT("'Measurement Details'!B" &amp; COLUMN()/2 + 1))</f>
        <v>vib_spindle</v>
      </c>
      <c r="E1" s="74"/>
      <c r="F1" s="74" t="str" cm="1">
        <f t="array" aca="1" ref="F1" ca="1">IF(INDIRECT("'Measurement Details'!B" &amp; COLUMN()/2 + 1)="", "", INDIRECT("'Measurement Details'!B" &amp; COLUMN()/2 + 1))</f>
        <v>smcAC</v>
      </c>
      <c r="G1" s="74"/>
      <c r="H1" s="74" t="str" cm="1">
        <f t="array" aca="1" ref="H1" ca="1">IF(INDIRECT("'Measurement Details'!B" &amp; COLUMN()/2 + 1)="", "", INDIRECT("'Measurement Details'!B" &amp; COLUMN()/2 + 1))</f>
        <v>smcDC</v>
      </c>
      <c r="I1" s="74"/>
      <c r="J1" s="74" t="str" cm="1">
        <f t="array" aca="1" ref="J1" ca="1">IF(INDIRECT("'Measurement Details'!B" &amp; COLUMN()/2 + 1)="", "", INDIRECT("'Measurement Details'!B" &amp; COLUMN()/2 + 1))</f>
        <v>AE_table</v>
      </c>
      <c r="K1" s="74"/>
      <c r="L1" s="74" t="str" cm="1">
        <f t="array" aca="1" ref="L1" ca="1">IF(INDIRECT("'Measurement Details'!B" &amp; COLUMN()/2 + 1)="", "", INDIRECT("'Measurement Details'!B" &amp; COLUMN()/2 + 1))</f>
        <v>AE_spindle</v>
      </c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 t="str" cm="1">
        <f t="array" aca="1" ref="X1" ca="1">IF(INDIRECT("'Measurement Details'!A" &amp; COLUMN()/2 + 1)="", "", INDIRECT("'Measurement Details'!A" &amp; COLUMN()/2 + 1))</f>
        <v/>
      </c>
      <c r="Y1" s="74"/>
      <c r="Z1" s="74" t="str" cm="1">
        <f t="array" aca="1" ref="Z1" ca="1">IF(INDIRECT("'Measurement Details'!A" &amp; COLUMN()/2 + 1)="", "", INDIRECT("'Measurement Details'!A" &amp; COLUMN()/2 + 1))</f>
        <v/>
      </c>
      <c r="AA1" s="74"/>
      <c r="AB1" s="74" t="str" cm="1">
        <f t="array" aca="1" ref="AB1" ca="1">IF(INDIRECT("'Measurement Details'!A" &amp; COLUMN()/2 + 1)="", "", INDIRECT("'Measurement Details'!A" &amp; COLUMN()/2 + 1))</f>
        <v/>
      </c>
      <c r="AC1" s="74"/>
      <c r="AD1" s="74" t="str" cm="1">
        <f t="array" aca="1" ref="AD1" ca="1">IF(INDIRECT("'Measurement Details'!A" &amp; COLUMN()/2 + 1)="", "", INDIRECT("'Measurement Details'!A" &amp; COLUMN()/2 + 1))</f>
        <v/>
      </c>
      <c r="AE1" s="74"/>
      <c r="AF1" s="74" t="str" cm="1">
        <f t="array" aca="1" ref="AF1" ca="1">IF(INDIRECT("'Measurement Details'!A" &amp; COLUMN()/2 + 1)="", "", INDIRECT("'Measurement Details'!A" &amp; COLUMN()/2 + 1))</f>
        <v/>
      </c>
      <c r="AG1" s="74"/>
      <c r="AH1" s="74" t="str" cm="1">
        <f t="array" aca="1" ref="AH1" ca="1">IF(INDIRECT("'Measurement Details'!A" &amp; COLUMN()/2 + 1)="", "", INDIRECT("'Measurement Details'!A" &amp; COLUMN()/2 + 1))</f>
        <v/>
      </c>
      <c r="AI1" s="74"/>
      <c r="AJ1" s="74" t="str" cm="1">
        <f t="array" aca="1" ref="AJ1" ca="1">IF(INDIRECT("'Measurement Details'!A" &amp; COLUMN()/2 + 1)="", "", INDIRECT("'Measurement Details'!A" &amp; COLUMN()/2 + 1))</f>
        <v/>
      </c>
      <c r="AK1" s="74"/>
      <c r="AL1" s="74" t="str" cm="1">
        <f t="array" aca="1" ref="AL1" ca="1">IF(INDIRECT("'Measurement Details'!A" &amp; COLUMN()/2 + 1)="", "", INDIRECT("'Measurement Details'!A" &amp; COLUMN()/2 + 1))</f>
        <v/>
      </c>
      <c r="AM1" s="74"/>
      <c r="AN1" s="74" t="str" cm="1">
        <f t="array" aca="1" ref="AN1" ca="1">IF(INDIRECT("'Measurement Details'!A" &amp; COLUMN()/2 + 1)="", "", INDIRECT("'Measurement Details'!A" &amp; COLUMN()/2 + 1))</f>
        <v/>
      </c>
      <c r="AO1" s="74"/>
      <c r="AP1" s="74" t="str" cm="1">
        <f t="array" aca="1" ref="AP1" ca="1">IF(INDIRECT("'Measurement Details'!A" &amp; COLUMN()/2 + 1)="", "", INDIRECT("'Measurement Details'!A" &amp; COLUMN()/2 + 1))</f>
        <v/>
      </c>
      <c r="AQ1" s="74"/>
      <c r="AR1" s="74" t="str" cm="1">
        <f t="array" aca="1" ref="AR1" ca="1">IF(INDIRECT("'Measurement Details'!A" &amp; COLUMN()/2 + 1)="", "", INDIRECT("'Measurement Details'!A" &amp; COLUMN()/2 + 1))</f>
        <v/>
      </c>
      <c r="AS1" s="74"/>
      <c r="AT1" s="74" t="str" cm="1">
        <f t="array" aca="1" ref="AT1" ca="1">IF(INDIRECT("'Measurement Details'!A" &amp; COLUMN()/2 + 1)="", "", INDIRECT("'Measurement Details'!A" &amp; COLUMN()/2 + 1))</f>
        <v/>
      </c>
      <c r="AU1" s="74"/>
      <c r="AV1" s="74" t="str" cm="1">
        <f t="array" aca="1" ref="AV1" ca="1">IF(INDIRECT("'Measurement Details'!A" &amp; COLUMN()/2 + 1)="", "", INDIRECT("'Measurement Details'!A" &amp; COLUMN()/2 + 1))</f>
        <v/>
      </c>
      <c r="AW1" s="74"/>
      <c r="AX1" s="74" t="str" cm="1">
        <f t="array" aca="1" ref="AX1" ca="1">IF(INDIRECT("'Measurement Details'!A" &amp; COLUMN()/2 + 1)="", "", INDIRECT("'Measurement Details'!A" &amp; COLUMN()/2 + 1))</f>
        <v/>
      </c>
      <c r="AY1" s="74"/>
      <c r="AZ1" s="74" t="str" cm="1">
        <f t="array" aca="1" ref="AZ1" ca="1">IF(INDIRECT("'Measurement Details'!A" &amp; COLUMN()/2 + 1)="", "", INDIRECT("'Measurement Details'!A" &amp; COLUMN()/2 + 1))</f>
        <v/>
      </c>
      <c r="BA1" s="74"/>
      <c r="BB1" s="74" t="str" cm="1">
        <f t="array" aca="1" ref="BB1" ca="1">IF(INDIRECT("'Measurement Details'!A" &amp; COLUMN()/2 + 1)="", "", INDIRECT("'Measurement Details'!A" &amp; COLUMN()/2 + 1))</f>
        <v/>
      </c>
      <c r="BC1" s="74"/>
      <c r="BD1" s="74" t="str" cm="1">
        <f t="array" aca="1" ref="BD1" ca="1">IF(INDIRECT("'Measurement Details'!A" &amp; COLUMN()/2 + 1)="", "", INDIRECT("'Measurement Details'!A" &amp; COLUMN()/2 + 1))</f>
        <v/>
      </c>
      <c r="BE1" s="74"/>
      <c r="BF1" s="74" t="str" cm="1">
        <f t="array" aca="1" ref="BF1" ca="1">IF(INDIRECT("'Measurement Details'!A" &amp; COLUMN()/2 + 1)="", "", INDIRECT("'Measurement Details'!A" &amp; COLUMN()/2 + 1))</f>
        <v/>
      </c>
      <c r="BG1" s="74"/>
      <c r="BH1" s="74" t="str" cm="1">
        <f t="array" aca="1" ref="BH1" ca="1">IF(INDIRECT("'Measurement Details'!A" &amp; COLUMN()/2 + 1)="", "", INDIRECT("'Measurement Details'!A" &amp; COLUMN()/2 + 1))</f>
        <v/>
      </c>
      <c r="BI1" s="74"/>
      <c r="BJ1" s="74" t="str" cm="1">
        <f t="array" aca="1" ref="BJ1" ca="1">IF(INDIRECT("'Measurement Details'!A" &amp; COLUMN()/2 + 1)="", "", INDIRECT("'Measurement Details'!A" &amp; COLUMN()/2 + 1))</f>
        <v/>
      </c>
      <c r="BK1" s="74"/>
      <c r="BL1" s="74" t="str" cm="1">
        <f t="array" aca="1" ref="BL1" ca="1">IF(INDIRECT("'Measurement Details'!A" &amp; COLUMN()/2 + 1)="", "", INDIRECT("'Measurement Details'!A" &amp; COLUMN()/2 + 1))</f>
        <v/>
      </c>
      <c r="BM1" s="74"/>
      <c r="BN1" s="74" t="str" cm="1">
        <f t="array" aca="1" ref="BN1" ca="1">IF(INDIRECT("'Measurement Details'!A" &amp; COLUMN()/2 + 1)="", "", INDIRECT("'Measurement Details'!A" &amp; COLUMN()/2 + 1))</f>
        <v/>
      </c>
      <c r="BO1" s="74"/>
      <c r="BP1" s="74" t="str" cm="1">
        <f t="array" aca="1" ref="BP1" ca="1">IF(INDIRECT("'Measurement Details'!A" &amp; COLUMN()/2 + 1)="", "", INDIRECT("'Measurement Details'!A" &amp; COLUMN()/2 + 1))</f>
        <v/>
      </c>
      <c r="BQ1" s="74"/>
      <c r="BR1" s="74" t="str" cm="1">
        <f t="array" aca="1" ref="BR1" ca="1">IF(INDIRECT("'Measurement Details'!A" &amp; COLUMN()/2 + 1)="", "", INDIRECT("'Measurement Details'!A" &amp; COLUMN()/2 + 1))</f>
        <v/>
      </c>
      <c r="BS1" s="74"/>
      <c r="BT1" s="74" t="str" cm="1">
        <f t="array" aca="1" ref="BT1" ca="1">IF(INDIRECT("'Measurement Details'!A" &amp; COLUMN()/2 + 1)="", "", INDIRECT("'Measurement Details'!A" &amp; COLUMN()/2 + 1))</f>
        <v/>
      </c>
      <c r="BU1" s="74"/>
      <c r="BV1" s="74" t="str" cm="1">
        <f t="array" aca="1" ref="BV1" ca="1">IF(INDIRECT("'Measurement Details'!A" &amp; COLUMN()/2 + 1)="", "", INDIRECT("'Measurement Details'!A" &amp; COLUMN()/2 + 1))</f>
        <v/>
      </c>
      <c r="BW1" s="74"/>
      <c r="BX1" s="74" t="str" cm="1">
        <f t="array" aca="1" ref="BX1" ca="1">IF(INDIRECT("'Measurement Details'!A" &amp; COLUMN()/2 + 1)="", "", INDIRECT("'Measurement Details'!A" &amp; COLUMN()/2 + 1))</f>
        <v/>
      </c>
      <c r="BY1" s="74"/>
      <c r="BZ1" s="74" t="str" cm="1">
        <f t="array" aca="1" ref="BZ1" ca="1">IF(INDIRECT("'Measurement Details'!A" &amp; COLUMN()/2 + 1)="", "", INDIRECT("'Measurement Details'!A" &amp; COLUMN()/2 + 1))</f>
        <v/>
      </c>
      <c r="CA1" s="74"/>
      <c r="CB1" s="74" t="str" cm="1">
        <f t="array" aca="1" ref="CB1" ca="1">IF(INDIRECT("'Measurement Details'!A" &amp; COLUMN()/2 + 1)="", "", INDIRECT("'Measurement Details'!A" &amp; COLUMN()/2 + 1))</f>
        <v/>
      </c>
      <c r="CC1" s="74"/>
      <c r="CD1" s="74" t="str" cm="1">
        <f t="array" aca="1" ref="CD1" ca="1">IF(INDIRECT("'Measurement Details'!A" &amp; COLUMN()/2 + 1)="", "", INDIRECT("'Measurement Details'!A" &amp; COLUMN()/2 + 1))</f>
        <v/>
      </c>
      <c r="CE1" s="74"/>
      <c r="CF1" s="74" t="str" cm="1">
        <f t="array" aca="1" ref="CF1" ca="1">IF(INDIRECT("'Measurement Details'!A" &amp; COLUMN()/2 + 1)="", "", INDIRECT("'Measurement Details'!A" &amp; COLUMN()/2 + 1))</f>
        <v/>
      </c>
      <c r="CG1" s="74"/>
      <c r="CH1" s="74" t="str" cm="1">
        <f t="array" aca="1" ref="CH1" ca="1">IF(INDIRECT("'Measurement Details'!A" &amp; COLUMN()/2 + 1)="", "", INDIRECT("'Measurement Details'!A" &amp; COLUMN()/2 + 1))</f>
        <v/>
      </c>
      <c r="CI1" s="74"/>
      <c r="CJ1" s="74" t="str" cm="1">
        <f t="array" aca="1" ref="CJ1" ca="1">IF(INDIRECT("'Measurement Details'!A" &amp; COLUMN()/2 + 1)="", "", INDIRECT("'Measurement Details'!A" &amp; COLUMN()/2 + 1))</f>
        <v/>
      </c>
      <c r="CK1" s="74"/>
      <c r="CL1" s="74" t="str" cm="1">
        <f t="array" aca="1" ref="CL1" ca="1">IF(INDIRECT("'Measurement Details'!A" &amp; COLUMN()/2 + 1)="", "", INDIRECT("'Measurement Details'!A" &amp; COLUMN()/2 + 1))</f>
        <v/>
      </c>
      <c r="CM1" s="74"/>
      <c r="CN1" s="74" t="str" cm="1">
        <f t="array" aca="1" ref="CN1" ca="1">IF(INDIRECT("'Measurement Details'!A" &amp; COLUMN()/2 + 1)="", "", INDIRECT("'Measurement Details'!A" &amp; COLUMN()/2 + 1))</f>
        <v/>
      </c>
      <c r="CO1" s="74"/>
      <c r="CP1" s="74" t="str" cm="1">
        <f t="array" aca="1" ref="CP1" ca="1">IF(INDIRECT("'Measurement Details'!A" &amp; COLUMN()/2 + 1)="", "", INDIRECT("'Measurement Details'!A" &amp; COLUMN()/2 + 1))</f>
        <v/>
      </c>
      <c r="CQ1" s="74"/>
      <c r="CR1" s="74" t="str" cm="1">
        <f t="array" aca="1" ref="CR1" ca="1">IF(INDIRECT("'Measurement Details'!A" &amp; COLUMN()/2 + 1)="", "", INDIRECT("'Measurement Details'!A" &amp; COLUMN()/2 + 1))</f>
        <v/>
      </c>
      <c r="CS1" s="74"/>
      <c r="CT1" s="74" t="str" cm="1">
        <f t="array" aca="1" ref="CT1" ca="1">IF(INDIRECT("'Measurement Details'!A" &amp; COLUMN()/2 + 1)="", "", INDIRECT("'Measurement Details'!A" &amp; COLUMN()/2 + 1))</f>
        <v/>
      </c>
      <c r="CU1" s="74"/>
      <c r="CV1" s="74" t="str" cm="1">
        <f t="array" aca="1" ref="CV1" ca="1">IF(INDIRECT("'Measurement Details'!A" &amp; COLUMN()/2 + 1)="", "", INDIRECT("'Measurement Details'!A" &amp; COLUMN()/2 + 1))</f>
        <v/>
      </c>
      <c r="CW1" s="74"/>
      <c r="CX1" s="74" t="str" cm="1">
        <f t="array" aca="1" ref="CX1" ca="1">IF(INDIRECT("'Measurement Details'!A" &amp; COLUMN()/2 + 1)="", "", INDIRECT("'Measurement Details'!A" &amp; COLUMN()/2 + 1))</f>
        <v/>
      </c>
      <c r="CY1" s="74"/>
      <c r="CZ1" s="74" t="str" cm="1">
        <f t="array" aca="1" ref="CZ1" ca="1">IF(INDIRECT("'Measurement Details'!A" &amp; COLUMN()/2 + 1)="", "", INDIRECT("'Measurement Details'!A" &amp; COLUMN()/2 + 1))</f>
        <v/>
      </c>
      <c r="DA1" s="74"/>
      <c r="DB1" s="74" t="str" cm="1">
        <f t="array" aca="1" ref="DB1" ca="1">IF(INDIRECT("'Measurement Details'!A" &amp; COLUMN()/2 + 1)="", "", INDIRECT("'Measurement Details'!A" &amp; COLUMN()/2 + 1))</f>
        <v/>
      </c>
      <c r="DC1" s="74"/>
      <c r="DD1" s="74" t="str" cm="1">
        <f t="array" aca="1" ref="DD1" ca="1">IF(INDIRECT("'Measurement Details'!A" &amp; COLUMN()/2 + 1)="", "", INDIRECT("'Measurement Details'!A" &amp; COLUMN()/2 + 1))</f>
        <v/>
      </c>
      <c r="DE1" s="74"/>
      <c r="DF1" s="74" t="str" cm="1">
        <f t="array" aca="1" ref="DF1" ca="1">IF(INDIRECT("'Measurement Details'!A" &amp; COLUMN()/2 + 1)="", "", INDIRECT("'Measurement Details'!A" &amp; COLUMN()/2 + 1))</f>
        <v/>
      </c>
      <c r="DG1" s="74"/>
    </row>
    <row r="2" spans="1:111" s="15" customFormat="1" ht="15" thickBot="1" x14ac:dyDescent="0.35">
      <c r="A2" s="19"/>
      <c r="B2" s="19" t="s">
        <v>11</v>
      </c>
      <c r="C2" s="19" t="s">
        <v>5</v>
      </c>
      <c r="D2" s="15" t="s">
        <v>11</v>
      </c>
      <c r="E2" s="19" t="s">
        <v>5</v>
      </c>
      <c r="F2" s="15" t="s">
        <v>11</v>
      </c>
      <c r="G2" s="19" t="s">
        <v>5</v>
      </c>
      <c r="H2" s="15" t="s">
        <v>11</v>
      </c>
      <c r="I2" s="19" t="s">
        <v>5</v>
      </c>
      <c r="J2" s="15" t="s">
        <v>11</v>
      </c>
      <c r="K2" s="19" t="s">
        <v>5</v>
      </c>
      <c r="L2" s="15" t="s">
        <v>11</v>
      </c>
      <c r="M2" s="19" t="s">
        <v>5</v>
      </c>
      <c r="O2" s="19"/>
      <c r="Q2" s="19"/>
      <c r="S2" s="19"/>
      <c r="U2" s="19"/>
      <c r="W2" s="19"/>
    </row>
    <row r="3" spans="1:111" x14ac:dyDescent="0.3">
      <c r="A3" s="16" t="s">
        <v>117</v>
      </c>
      <c r="B3" s="53" t="s">
        <v>141</v>
      </c>
      <c r="D3" s="48" t="s">
        <v>145</v>
      </c>
      <c r="J3" t="s">
        <v>141</v>
      </c>
      <c r="L3" t="s">
        <v>145</v>
      </c>
    </row>
    <row r="4" spans="1:111" x14ac:dyDescent="0.3">
      <c r="A4" s="16" t="s">
        <v>118</v>
      </c>
      <c r="B4" s="16">
        <v>13</v>
      </c>
      <c r="C4" s="16" t="s">
        <v>10</v>
      </c>
      <c r="D4">
        <v>13</v>
      </c>
      <c r="E4" s="16" t="s">
        <v>10</v>
      </c>
      <c r="J4">
        <v>2</v>
      </c>
      <c r="K4" s="16" t="s">
        <v>154</v>
      </c>
      <c r="L4">
        <v>2</v>
      </c>
      <c r="M4" s="16" t="s">
        <v>154</v>
      </c>
    </row>
    <row r="5" spans="1:111" x14ac:dyDescent="0.3">
      <c r="A5" s="16" t="s">
        <v>24</v>
      </c>
      <c r="B5" s="16" t="s">
        <v>142</v>
      </c>
      <c r="D5" t="s">
        <v>142</v>
      </c>
    </row>
    <row r="6" spans="1:111" x14ac:dyDescent="0.3">
      <c r="A6" s="16" t="s">
        <v>138</v>
      </c>
      <c r="B6" s="16">
        <v>8</v>
      </c>
      <c r="C6" s="16" t="s">
        <v>10</v>
      </c>
      <c r="D6">
        <v>8</v>
      </c>
      <c r="E6" s="16" t="s">
        <v>10</v>
      </c>
    </row>
    <row r="7" spans="1:111" x14ac:dyDescent="0.3">
      <c r="A7" s="16" t="s">
        <v>119</v>
      </c>
      <c r="J7" t="s">
        <v>155</v>
      </c>
      <c r="L7" t="s">
        <v>155</v>
      </c>
    </row>
    <row r="8" spans="1:111" x14ac:dyDescent="0.3">
      <c r="A8" s="16" t="s">
        <v>120</v>
      </c>
      <c r="B8" s="16" t="s">
        <v>143</v>
      </c>
      <c r="D8" t="s">
        <v>143</v>
      </c>
      <c r="J8" t="s">
        <v>156</v>
      </c>
      <c r="L8" t="s">
        <v>156</v>
      </c>
    </row>
    <row r="9" spans="1:111" x14ac:dyDescent="0.3">
      <c r="A9" s="16" t="s">
        <v>121</v>
      </c>
      <c r="B9" s="16">
        <v>5</v>
      </c>
      <c r="C9" s="16" t="s">
        <v>47</v>
      </c>
      <c r="D9">
        <v>5</v>
      </c>
      <c r="E9" s="16" t="s">
        <v>47</v>
      </c>
      <c r="J9">
        <v>5</v>
      </c>
      <c r="K9" s="16" t="s">
        <v>47</v>
      </c>
      <c r="L9">
        <v>5</v>
      </c>
      <c r="M9" s="16" t="s">
        <v>47</v>
      </c>
    </row>
    <row r="10" spans="1:111" x14ac:dyDescent="0.3">
      <c r="A10" s="16" t="s">
        <v>122</v>
      </c>
      <c r="B10" s="16">
        <v>-5</v>
      </c>
      <c r="C10" s="16" t="s">
        <v>47</v>
      </c>
      <c r="D10">
        <v>-5</v>
      </c>
      <c r="E10" s="16" t="s">
        <v>47</v>
      </c>
      <c r="J10">
        <v>-5</v>
      </c>
      <c r="K10" s="16" t="s">
        <v>47</v>
      </c>
      <c r="L10">
        <v>-5</v>
      </c>
      <c r="M10" s="16" t="s">
        <v>47</v>
      </c>
    </row>
    <row r="11" spans="1:111" x14ac:dyDescent="0.3">
      <c r="A11" s="16" t="s">
        <v>139</v>
      </c>
      <c r="B11" s="16">
        <v>5.71</v>
      </c>
      <c r="C11" s="16" t="s">
        <v>144</v>
      </c>
      <c r="D11">
        <v>5.71</v>
      </c>
      <c r="E11" s="16" t="s">
        <v>144</v>
      </c>
    </row>
    <row r="12" spans="1:111" x14ac:dyDescent="0.3">
      <c r="A12" s="16" t="s">
        <v>140</v>
      </c>
      <c r="B12" s="16">
        <v>100</v>
      </c>
      <c r="C12" s="16" t="s">
        <v>144</v>
      </c>
      <c r="D12">
        <v>100</v>
      </c>
      <c r="E12" s="16" t="s">
        <v>144</v>
      </c>
    </row>
    <row r="13" spans="1:111" x14ac:dyDescent="0.3">
      <c r="A13" s="16" t="s">
        <v>146</v>
      </c>
      <c r="F13" t="s">
        <v>147</v>
      </c>
      <c r="H13" t="s">
        <v>147</v>
      </c>
    </row>
    <row r="14" spans="1:111" x14ac:dyDescent="0.3">
      <c r="A14" s="16" t="s">
        <v>148</v>
      </c>
      <c r="F14" t="s">
        <v>149</v>
      </c>
      <c r="H14" t="s">
        <v>149</v>
      </c>
    </row>
    <row r="15" spans="1:111" x14ac:dyDescent="0.3">
      <c r="A15" s="16" t="s">
        <v>150</v>
      </c>
      <c r="C15" s="16" t="s">
        <v>47</v>
      </c>
      <c r="F15">
        <v>15</v>
      </c>
      <c r="G15" s="16" t="s">
        <v>47</v>
      </c>
      <c r="H15">
        <v>15</v>
      </c>
      <c r="I15" s="16" t="s">
        <v>47</v>
      </c>
    </row>
    <row r="16" spans="1:111" x14ac:dyDescent="0.3">
      <c r="A16" s="16" t="s">
        <v>151</v>
      </c>
      <c r="F16" t="s">
        <v>152</v>
      </c>
      <c r="H16" t="s">
        <v>153</v>
      </c>
    </row>
  </sheetData>
  <mergeCells count="55">
    <mergeCell ref="L1:M1"/>
    <mergeCell ref="B1:C1"/>
    <mergeCell ref="D1:E1"/>
    <mergeCell ref="J1:K1"/>
    <mergeCell ref="H1:I1"/>
    <mergeCell ref="F1:G1"/>
    <mergeCell ref="V1:W1"/>
    <mergeCell ref="T1:U1"/>
    <mergeCell ref="R1:S1"/>
    <mergeCell ref="P1:Q1"/>
    <mergeCell ref="N1:O1"/>
    <mergeCell ref="AP1:AQ1"/>
    <mergeCell ref="AN1:AO1"/>
    <mergeCell ref="AL1:AM1"/>
    <mergeCell ref="AJ1:AK1"/>
    <mergeCell ref="AH1:AI1"/>
    <mergeCell ref="AF1:AG1"/>
    <mergeCell ref="AD1:AE1"/>
    <mergeCell ref="AB1:AC1"/>
    <mergeCell ref="Z1:AA1"/>
    <mergeCell ref="X1:Y1"/>
    <mergeCell ref="AR1:AS1"/>
    <mergeCell ref="AT1:AU1"/>
    <mergeCell ref="AV1:AW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BT1:BU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Z1:DA1"/>
    <mergeCell ref="DB1:DC1"/>
    <mergeCell ref="DD1:DE1"/>
    <mergeCell ref="DF1:DG1"/>
    <mergeCell ref="CP1:CQ1"/>
    <mergeCell ref="CR1:CS1"/>
    <mergeCell ref="CT1:CU1"/>
    <mergeCell ref="CV1:CW1"/>
    <mergeCell ref="CX1:CY1"/>
  </mergeCells>
  <phoneticPr fontId="10" type="noConversion"/>
  <conditionalFormatting sqref="B3:K6 L3:W7 J7:K7 B8:I8 J12:W17 C13:I16 B17:I17 B18:W28">
    <cfRule type="expression" priority="1">
      <formula>_xludf.ISBLANK()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8E4B-40F8-47ED-B0DE-4AB8F6E3BBD8}">
  <sheetPr codeName="Blad7"/>
  <dimension ref="A1:AP3699"/>
  <sheetViews>
    <sheetView zoomScale="60" zoomScaleNormal="60" workbookViewId="0">
      <selection activeCell="C2" sqref="C2"/>
    </sheetView>
  </sheetViews>
  <sheetFormatPr defaultRowHeight="14.4" x14ac:dyDescent="0.3"/>
  <cols>
    <col min="1" max="1" width="13.5546875" bestFit="1" customWidth="1"/>
    <col min="2" max="2" width="52.44140625" style="24" bestFit="1" customWidth="1"/>
    <col min="3" max="10" width="52.44140625" bestFit="1" customWidth="1"/>
    <col min="11" max="12" width="53.44140625" bestFit="1" customWidth="1"/>
  </cols>
  <sheetData>
    <row r="1" spans="1:42" s="56" customFormat="1" ht="15" thickBot="1" x14ac:dyDescent="0.35">
      <c r="A1" s="21"/>
      <c r="B1" s="21"/>
      <c r="C1" s="21" t="str" cm="1">
        <f t="array" aca="1" ref="C1" ca="1">IF(INDIRECT("'Measurement Details'!B" &amp; COLUMN() - 1)="", "", INDIRECT("'Measurement Details'!B" &amp; COLUMN() - 1))</f>
        <v>vib_table</v>
      </c>
      <c r="D1" s="21" t="str" cm="1">
        <f t="array" aca="1" ref="D1" ca="1">IF(INDIRECT("'Measurement Details'!B" &amp; COLUMN() - 1)="", "", INDIRECT("'Measurement Details'!B" &amp; COLUMN() - 1))</f>
        <v>vib_spindle</v>
      </c>
      <c r="E1" s="21" t="str" cm="1">
        <f t="array" aca="1" ref="E1" ca="1">IF(INDIRECT("'Measurement Details'!B" &amp; COLUMN() - 1)="", "", INDIRECT("'Measurement Details'!B" &amp; COLUMN() - 1))</f>
        <v>smcAC</v>
      </c>
      <c r="F1" s="21" t="str" cm="1">
        <f t="array" aca="1" ref="F1" ca="1">IF(INDIRECT("'Measurement Details'!B" &amp; COLUMN() - 1)="", "", INDIRECT("'Measurement Details'!B" &amp; COLUMN() - 1))</f>
        <v>smcDC</v>
      </c>
      <c r="G1" s="21" t="str" cm="1">
        <f t="array" aca="1" ref="G1" ca="1">IF(INDIRECT("'Measurement Details'!B" &amp; COLUMN() - 1)="", "", INDIRECT("'Measurement Details'!B" &amp; COLUMN() - 1))</f>
        <v>AE_table</v>
      </c>
      <c r="H1" s="21" t="str" cm="1">
        <f t="array" aca="1" ref="H1" ca="1">IF(INDIRECT("'Measurement Details'!B" &amp; COLUMN() - 1)="", "", INDIRECT("'Measurement Details'!B" &amp; COLUMN() - 1))</f>
        <v>AE_spindle</v>
      </c>
      <c r="I1" s="21" t="str" cm="1">
        <f t="array" aca="1" ref="I1" ca="1">IF(INDIRECT("'Measurement Details'!A" &amp; COLUMN() - 1)="", "", INDIRECT("'Measurement Details'!A" &amp; COLUMN() - 1))</f>
        <v/>
      </c>
      <c r="J1" s="21"/>
      <c r="K1" s="21"/>
      <c r="L1" s="21"/>
      <c r="M1" s="21" t="str" cm="1">
        <f t="array" aca="1" ref="M1" ca="1">IF(INDIRECT("'Measurement Details'!A" &amp; COLUMN())="", "", INDIRECT("'Measurement Details'!A" &amp; COLUMN()))</f>
        <v/>
      </c>
      <c r="N1" s="21" t="str" cm="1">
        <f t="array" aca="1" ref="N1" ca="1">IF(INDIRECT("'Measurement Details'!A" &amp; COLUMN())="", "", INDIRECT("'Measurement Details'!A" &amp; COLUMN()))</f>
        <v/>
      </c>
      <c r="O1" s="21" t="str" cm="1">
        <f t="array" aca="1" ref="O1" ca="1">IF(INDIRECT("'Measurement Details'!A" &amp; COLUMN())="", "", INDIRECT("'Measurement Details'!A" &amp; COLUMN()))</f>
        <v/>
      </c>
      <c r="P1" s="21" t="str" cm="1">
        <f t="array" aca="1" ref="P1" ca="1">IF(INDIRECT("'Measurement Details'!A" &amp; COLUMN())="", "", INDIRECT("'Measurement Details'!A" &amp; COLUMN()))</f>
        <v/>
      </c>
      <c r="Q1" s="21" t="str" cm="1">
        <f t="array" aca="1" ref="Q1" ca="1">IF(INDIRECT("'Measurement Details'!A" &amp; COLUMN())="", "", INDIRECT("'Measurement Details'!A" &amp; COLUMN()))</f>
        <v/>
      </c>
      <c r="R1" s="21" t="str" cm="1">
        <f t="array" aca="1" ref="R1" ca="1">IF(INDIRECT("'Measurement Details'!A" &amp; COLUMN())="", "", INDIRECT("'Measurement Details'!A" &amp; COLUMN()))</f>
        <v/>
      </c>
      <c r="S1" s="21" t="str" cm="1">
        <f t="array" aca="1" ref="S1" ca="1">IF(INDIRECT("'Measurement Details'!A" &amp; COLUMN())="", "", INDIRECT("'Measurement Details'!A" &amp; COLUMN()))</f>
        <v/>
      </c>
      <c r="T1" s="21" t="str" cm="1">
        <f t="array" aca="1" ref="T1" ca="1">IF(INDIRECT("'Measurement Details'!A" &amp; COLUMN())="", "", INDIRECT("'Measurement Details'!A" &amp; COLUMN()))</f>
        <v/>
      </c>
      <c r="U1" s="21" t="str" cm="1">
        <f t="array" aca="1" ref="U1" ca="1">IF(INDIRECT("'Measurement Details'!A" &amp; COLUMN())="", "", INDIRECT("'Measurement Details'!A" &amp; COLUMN()))</f>
        <v/>
      </c>
      <c r="V1" s="21" t="str" cm="1">
        <f t="array" aca="1" ref="V1" ca="1">IF(INDIRECT("'Measurement Details'!A" &amp; COLUMN())="", "", INDIRECT("'Measurement Details'!A" &amp; COLUMN()))</f>
        <v/>
      </c>
      <c r="W1" s="21" t="str" cm="1">
        <f t="array" aca="1" ref="W1" ca="1">IF(INDIRECT("'Measurement Details'!A" &amp; COLUMN())="", "", INDIRECT("'Measurement Details'!A" &amp; COLUMN()))</f>
        <v/>
      </c>
      <c r="X1" s="21" t="str" cm="1">
        <f t="array" aca="1" ref="X1" ca="1">IF(INDIRECT("'Measurement Details'!A" &amp; COLUMN())="", "", INDIRECT("'Measurement Details'!A" &amp; COLUMN()))</f>
        <v/>
      </c>
      <c r="Y1" s="21" t="str" cm="1">
        <f t="array" aca="1" ref="Y1" ca="1">IF(INDIRECT("'Measurement Details'!A" &amp; COLUMN())="", "", INDIRECT("'Measurement Details'!A" &amp; COLUMN()))</f>
        <v/>
      </c>
      <c r="Z1" s="21" t="str" cm="1">
        <f t="array" aca="1" ref="Z1" ca="1">IF(INDIRECT("'Measurement Details'!A" &amp; COLUMN())="", "", INDIRECT("'Measurement Details'!A" &amp; COLUMN()))</f>
        <v/>
      </c>
      <c r="AA1" s="21" t="str" cm="1">
        <f t="array" aca="1" ref="AA1" ca="1">IF(INDIRECT("'Measurement Details'!A" &amp; COLUMN())="", "", INDIRECT("'Measurement Details'!A" &amp; COLUMN()))</f>
        <v/>
      </c>
      <c r="AB1" s="21" t="str" cm="1">
        <f t="array" aca="1" ref="AB1" ca="1">IF(INDIRECT("'Measurement Details'!A" &amp; COLUMN())="", "", INDIRECT("'Measurement Details'!A" &amp; COLUMN()))</f>
        <v/>
      </c>
      <c r="AC1" s="21" t="str" cm="1">
        <f t="array" aca="1" ref="AC1" ca="1">IF(INDIRECT("'Measurement Details'!A" &amp; COLUMN())="", "", INDIRECT("'Measurement Details'!A" &amp; COLUMN()))</f>
        <v/>
      </c>
      <c r="AD1" s="21" t="str" cm="1">
        <f t="array" aca="1" ref="AD1" ca="1">IF(INDIRECT("'Measurement Details'!A" &amp; COLUMN())="", "", INDIRECT("'Measurement Details'!A" &amp; COLUMN()))</f>
        <v/>
      </c>
      <c r="AE1" s="21" t="str" cm="1">
        <f t="array" aca="1" ref="AE1" ca="1">IF(INDIRECT("'Measurement Details'!A" &amp; COLUMN())="", "", INDIRECT("'Measurement Details'!A" &amp; COLUMN()))</f>
        <v/>
      </c>
      <c r="AF1" s="21" t="str" cm="1">
        <f t="array" aca="1" ref="AF1" ca="1">IF(INDIRECT("'Measurement Details'!A" &amp; COLUMN())="", "", INDIRECT("'Measurement Details'!A" &amp; COLUMN()))</f>
        <v/>
      </c>
      <c r="AG1" s="21" t="str" cm="1">
        <f t="array" aca="1" ref="AG1" ca="1">IF(INDIRECT("'Measurement Details'!A" &amp; COLUMN())="", "", INDIRECT("'Measurement Details'!A" &amp; COLUMN()))</f>
        <v/>
      </c>
      <c r="AH1" s="21" t="str" cm="1">
        <f t="array" aca="1" ref="AH1" ca="1">IF(INDIRECT("'Measurement Details'!A" &amp; COLUMN())="", "", INDIRECT("'Measurement Details'!A" &amp; COLUMN()))</f>
        <v/>
      </c>
      <c r="AI1" s="21" t="str" cm="1">
        <f t="array" aca="1" ref="AI1" ca="1">IF(INDIRECT("'Measurement Details'!A" &amp; COLUMN())="", "", INDIRECT("'Measurement Details'!A" &amp; COLUMN()))</f>
        <v/>
      </c>
      <c r="AJ1" s="21" t="str" cm="1">
        <f t="array" aca="1" ref="AJ1" ca="1">IF(INDIRECT("'Measurement Details'!A" &amp; COLUMN())="", "", INDIRECT("'Measurement Details'!A" &amp; COLUMN()))</f>
        <v/>
      </c>
      <c r="AK1" s="21" t="str" cm="1">
        <f t="array" aca="1" ref="AK1" ca="1">IF(INDIRECT("'Measurement Details'!A" &amp; COLUMN())="", "", INDIRECT("'Measurement Details'!A" &amp; COLUMN()))</f>
        <v/>
      </c>
      <c r="AL1" s="21" t="str" cm="1">
        <f t="array" aca="1" ref="AL1" ca="1">IF(INDIRECT("'Measurement Details'!A" &amp; COLUMN())="", "", INDIRECT("'Measurement Details'!A" &amp; COLUMN()))</f>
        <v/>
      </c>
      <c r="AM1" s="21" t="str" cm="1">
        <f t="array" aca="1" ref="AM1" ca="1">IF(INDIRECT("'Measurement Details'!A" &amp; COLUMN())="", "", INDIRECT("'Measurement Details'!A" &amp; COLUMN()))</f>
        <v/>
      </c>
      <c r="AN1" s="21" t="str" cm="1">
        <f t="array" aca="1" ref="AN1" ca="1">IF(INDIRECT("'Measurement Details'!A" &amp; COLUMN())="", "", INDIRECT("'Measurement Details'!A" &amp; COLUMN()))</f>
        <v/>
      </c>
      <c r="AO1" s="21" t="str" cm="1">
        <f t="array" aca="1" ref="AO1" ca="1">IF(INDIRECT("'Measurement Details'!A" &amp; COLUMN())="", "", INDIRECT("'Measurement Details'!A" &amp; COLUMN()))</f>
        <v/>
      </c>
      <c r="AP1" s="21" t="str" cm="1">
        <f t="array" aca="1" ref="AP1" ca="1">IF(INDIRECT("'Measurement Details'!A" &amp; COLUMN())="", "", INDIRECT("'Measurement Details'!A" &amp; COLUMN()))</f>
        <v/>
      </c>
    </row>
    <row r="2" spans="1:42" s="24" customFormat="1" x14ac:dyDescent="0.3">
      <c r="A2" s="17" t="s">
        <v>26</v>
      </c>
      <c r="B2" s="17" t="s">
        <v>192</v>
      </c>
    </row>
    <row r="3" spans="1:42" s="24" customFormat="1" x14ac:dyDescent="0.3">
      <c r="A3" s="17" t="s">
        <v>26</v>
      </c>
      <c r="B3" s="17" t="s">
        <v>193</v>
      </c>
    </row>
    <row r="4" spans="1:42" s="24" customFormat="1" x14ac:dyDescent="0.3">
      <c r="A4" s="17" t="s">
        <v>26</v>
      </c>
      <c r="B4" s="17" t="s">
        <v>194</v>
      </c>
    </row>
    <row r="5" spans="1:42" s="24" customFormat="1" x14ac:dyDescent="0.3">
      <c r="A5" s="17" t="s">
        <v>26</v>
      </c>
      <c r="B5" s="17" t="s">
        <v>195</v>
      </c>
    </row>
    <row r="6" spans="1:42" s="24" customFormat="1" x14ac:dyDescent="0.3">
      <c r="A6" s="17" t="s">
        <v>26</v>
      </c>
      <c r="B6" s="17" t="s">
        <v>196</v>
      </c>
    </row>
    <row r="7" spans="1:42" s="24" customFormat="1" x14ac:dyDescent="0.3">
      <c r="A7" s="17" t="s">
        <v>26</v>
      </c>
      <c r="B7" s="17" t="s">
        <v>197</v>
      </c>
    </row>
    <row r="8" spans="1:42" s="24" customFormat="1" x14ac:dyDescent="0.3">
      <c r="A8" s="17" t="s">
        <v>26</v>
      </c>
      <c r="B8" s="17" t="s">
        <v>198</v>
      </c>
    </row>
    <row r="9" spans="1:42" s="24" customFormat="1" x14ac:dyDescent="0.3">
      <c r="A9" s="17" t="s">
        <v>26</v>
      </c>
      <c r="B9" s="17" t="s">
        <v>199</v>
      </c>
    </row>
    <row r="10" spans="1:42" s="24" customFormat="1" x14ac:dyDescent="0.3">
      <c r="A10" s="17" t="s">
        <v>26</v>
      </c>
      <c r="B10" s="17" t="s">
        <v>200</v>
      </c>
    </row>
    <row r="11" spans="1:42" s="24" customFormat="1" x14ac:dyDescent="0.3">
      <c r="A11" s="17" t="s">
        <v>26</v>
      </c>
      <c r="B11" s="17" t="s">
        <v>169</v>
      </c>
    </row>
    <row r="12" spans="1:42" s="24" customFormat="1" x14ac:dyDescent="0.3">
      <c r="A12" s="17" t="s">
        <v>26</v>
      </c>
      <c r="B12" s="17" t="s">
        <v>170</v>
      </c>
    </row>
    <row r="13" spans="1:42" s="24" customFormat="1" x14ac:dyDescent="0.3">
      <c r="A13" s="17" t="s">
        <v>26</v>
      </c>
      <c r="B13" s="17" t="s">
        <v>171</v>
      </c>
    </row>
    <row r="14" spans="1:42" s="24" customFormat="1" x14ac:dyDescent="0.3">
      <c r="A14" s="17" t="s">
        <v>26</v>
      </c>
      <c r="B14" s="17" t="s">
        <v>172</v>
      </c>
    </row>
    <row r="15" spans="1:42" s="24" customFormat="1" x14ac:dyDescent="0.3">
      <c r="A15" s="17" t="s">
        <v>26</v>
      </c>
      <c r="B15" s="17" t="s">
        <v>173</v>
      </c>
    </row>
    <row r="16" spans="1:42" s="24" customFormat="1" x14ac:dyDescent="0.3">
      <c r="A16" s="17" t="s">
        <v>26</v>
      </c>
      <c r="B16" s="17" t="s">
        <v>174</v>
      </c>
    </row>
    <row r="17" spans="1:42" s="24" customFormat="1" x14ac:dyDescent="0.3">
      <c r="A17" s="17" t="s">
        <v>26</v>
      </c>
      <c r="B17" s="17" t="s">
        <v>175</v>
      </c>
    </row>
    <row r="18" spans="1:42" s="24" customFormat="1" x14ac:dyDescent="0.3">
      <c r="A18" s="57" t="s">
        <v>26</v>
      </c>
      <c r="B18" s="57" t="s">
        <v>176</v>
      </c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</row>
    <row r="19" spans="1:42" s="24" customFormat="1" x14ac:dyDescent="0.3">
      <c r="A19" s="17" t="s">
        <v>27</v>
      </c>
      <c r="B19" s="17" t="s">
        <v>192</v>
      </c>
    </row>
    <row r="20" spans="1:42" s="24" customFormat="1" x14ac:dyDescent="0.3">
      <c r="A20" s="17" t="s">
        <v>27</v>
      </c>
      <c r="B20" s="17" t="s">
        <v>193</v>
      </c>
    </row>
    <row r="21" spans="1:42" s="24" customFormat="1" x14ac:dyDescent="0.3">
      <c r="A21" s="17" t="s">
        <v>27</v>
      </c>
      <c r="B21" s="17" t="s">
        <v>194</v>
      </c>
    </row>
    <row r="22" spans="1:42" s="24" customFormat="1" x14ac:dyDescent="0.3">
      <c r="A22" s="17" t="s">
        <v>27</v>
      </c>
      <c r="B22" s="17" t="s">
        <v>195</v>
      </c>
    </row>
    <row r="23" spans="1:42" s="24" customFormat="1" x14ac:dyDescent="0.3">
      <c r="A23" s="17" t="s">
        <v>27</v>
      </c>
      <c r="B23" s="17" t="s">
        <v>196</v>
      </c>
    </row>
    <row r="24" spans="1:42" s="24" customFormat="1" x14ac:dyDescent="0.3">
      <c r="A24" s="17" t="s">
        <v>27</v>
      </c>
      <c r="B24" s="17" t="s">
        <v>197</v>
      </c>
    </row>
    <row r="25" spans="1:42" s="24" customFormat="1" x14ac:dyDescent="0.3">
      <c r="A25" s="17" t="s">
        <v>27</v>
      </c>
      <c r="B25" s="17" t="s">
        <v>198</v>
      </c>
    </row>
    <row r="26" spans="1:42" s="24" customFormat="1" x14ac:dyDescent="0.3">
      <c r="A26" s="17" t="s">
        <v>27</v>
      </c>
      <c r="B26" s="17" t="s">
        <v>199</v>
      </c>
    </row>
    <row r="27" spans="1:42" s="24" customFormat="1" x14ac:dyDescent="0.3">
      <c r="A27" s="17" t="s">
        <v>27</v>
      </c>
      <c r="B27" s="17" t="s">
        <v>200</v>
      </c>
    </row>
    <row r="28" spans="1:42" s="24" customFormat="1" x14ac:dyDescent="0.3">
      <c r="A28" s="17" t="s">
        <v>27</v>
      </c>
      <c r="B28" s="17" t="s">
        <v>169</v>
      </c>
    </row>
    <row r="29" spans="1:42" s="24" customFormat="1" x14ac:dyDescent="0.3">
      <c r="A29" s="17" t="s">
        <v>27</v>
      </c>
      <c r="B29" s="17" t="s">
        <v>170</v>
      </c>
    </row>
    <row r="30" spans="1:42" s="24" customFormat="1" x14ac:dyDescent="0.3">
      <c r="A30" s="17" t="s">
        <v>27</v>
      </c>
      <c r="B30" s="17" t="s">
        <v>171</v>
      </c>
    </row>
    <row r="31" spans="1:42" s="24" customFormat="1" x14ac:dyDescent="0.3">
      <c r="A31" s="17" t="s">
        <v>27</v>
      </c>
      <c r="B31" s="17" t="s">
        <v>172</v>
      </c>
    </row>
    <row r="32" spans="1:42" s="24" customFormat="1" x14ac:dyDescent="0.3">
      <c r="A32" s="57" t="s">
        <v>27</v>
      </c>
      <c r="B32" s="57" t="s">
        <v>173</v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</row>
    <row r="33" spans="1:42" s="24" customFormat="1" x14ac:dyDescent="0.3">
      <c r="A33" s="17" t="s">
        <v>73</v>
      </c>
      <c r="B33" s="17" t="s">
        <v>192</v>
      </c>
    </row>
    <row r="34" spans="1:42" s="24" customFormat="1" x14ac:dyDescent="0.3">
      <c r="A34" s="17" t="s">
        <v>73</v>
      </c>
      <c r="B34" s="17" t="s">
        <v>193</v>
      </c>
    </row>
    <row r="35" spans="1:42" s="24" customFormat="1" x14ac:dyDescent="0.3">
      <c r="A35" s="17" t="s">
        <v>73</v>
      </c>
      <c r="B35" s="17" t="s">
        <v>194</v>
      </c>
    </row>
    <row r="36" spans="1:42" s="24" customFormat="1" x14ac:dyDescent="0.3">
      <c r="A36" s="17" t="s">
        <v>73</v>
      </c>
      <c r="B36" s="17" t="s">
        <v>195</v>
      </c>
    </row>
    <row r="37" spans="1:42" s="24" customFormat="1" x14ac:dyDescent="0.3">
      <c r="A37" s="17" t="s">
        <v>73</v>
      </c>
      <c r="B37" s="17" t="s">
        <v>196</v>
      </c>
    </row>
    <row r="38" spans="1:42" s="24" customFormat="1" x14ac:dyDescent="0.3">
      <c r="A38" s="17" t="s">
        <v>73</v>
      </c>
      <c r="B38" s="17" t="s">
        <v>197</v>
      </c>
    </row>
    <row r="39" spans="1:42" s="24" customFormat="1" x14ac:dyDescent="0.3">
      <c r="A39" s="17" t="s">
        <v>73</v>
      </c>
      <c r="B39" s="17" t="s">
        <v>198</v>
      </c>
    </row>
    <row r="40" spans="1:42" s="24" customFormat="1" x14ac:dyDescent="0.3">
      <c r="A40" s="17" t="s">
        <v>73</v>
      </c>
      <c r="B40" s="17" t="s">
        <v>199</v>
      </c>
    </row>
    <row r="41" spans="1:42" s="24" customFormat="1" x14ac:dyDescent="0.3">
      <c r="A41" s="17" t="s">
        <v>73</v>
      </c>
      <c r="B41" s="17" t="s">
        <v>200</v>
      </c>
    </row>
    <row r="42" spans="1:42" s="24" customFormat="1" x14ac:dyDescent="0.3">
      <c r="A42" s="17" t="s">
        <v>73</v>
      </c>
      <c r="B42" s="17" t="s">
        <v>169</v>
      </c>
    </row>
    <row r="43" spans="1:42" s="24" customFormat="1" x14ac:dyDescent="0.3">
      <c r="A43" s="17" t="s">
        <v>73</v>
      </c>
      <c r="B43" s="17" t="s">
        <v>170</v>
      </c>
    </row>
    <row r="44" spans="1:42" s="24" customFormat="1" x14ac:dyDescent="0.3">
      <c r="A44" s="17" t="s">
        <v>73</v>
      </c>
      <c r="B44" s="17" t="s">
        <v>171</v>
      </c>
    </row>
    <row r="45" spans="1:42" s="24" customFormat="1" x14ac:dyDescent="0.3">
      <c r="A45" s="17" t="s">
        <v>73</v>
      </c>
      <c r="B45" s="17" t="s">
        <v>172</v>
      </c>
    </row>
    <row r="46" spans="1:42" s="24" customFormat="1" x14ac:dyDescent="0.3">
      <c r="A46" s="57" t="s">
        <v>73</v>
      </c>
      <c r="B46" s="57" t="s">
        <v>173</v>
      </c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</row>
    <row r="47" spans="1:42" s="24" customFormat="1" x14ac:dyDescent="0.3">
      <c r="A47" s="17" t="s">
        <v>74</v>
      </c>
      <c r="B47" s="17" t="s">
        <v>192</v>
      </c>
    </row>
    <row r="48" spans="1:42" s="24" customFormat="1" x14ac:dyDescent="0.3">
      <c r="A48" s="17" t="s">
        <v>74</v>
      </c>
      <c r="B48" s="17" t="s">
        <v>193</v>
      </c>
    </row>
    <row r="49" spans="1:42" s="24" customFormat="1" x14ac:dyDescent="0.3">
      <c r="A49" s="17" t="s">
        <v>74</v>
      </c>
      <c r="B49" s="17" t="s">
        <v>194</v>
      </c>
    </row>
    <row r="50" spans="1:42" s="24" customFormat="1" x14ac:dyDescent="0.3">
      <c r="A50" s="17" t="s">
        <v>74</v>
      </c>
      <c r="B50" s="17" t="s">
        <v>195</v>
      </c>
    </row>
    <row r="51" spans="1:42" s="24" customFormat="1" x14ac:dyDescent="0.3">
      <c r="A51" s="17" t="s">
        <v>74</v>
      </c>
      <c r="B51" s="17" t="s">
        <v>196</v>
      </c>
    </row>
    <row r="52" spans="1:42" s="24" customFormat="1" x14ac:dyDescent="0.3">
      <c r="A52" s="17" t="s">
        <v>74</v>
      </c>
      <c r="B52" s="17" t="s">
        <v>197</v>
      </c>
    </row>
    <row r="53" spans="1:42" s="24" customFormat="1" x14ac:dyDescent="0.3">
      <c r="A53" s="57" t="s">
        <v>74</v>
      </c>
      <c r="B53" s="57" t="s">
        <v>198</v>
      </c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</row>
    <row r="54" spans="1:42" s="24" customFormat="1" x14ac:dyDescent="0.3">
      <c r="A54" s="17" t="s">
        <v>75</v>
      </c>
      <c r="B54" s="17" t="s">
        <v>192</v>
      </c>
    </row>
    <row r="55" spans="1:42" s="24" customFormat="1" x14ac:dyDescent="0.3">
      <c r="A55" s="17" t="s">
        <v>75</v>
      </c>
      <c r="B55" s="17" t="s">
        <v>193</v>
      </c>
    </row>
    <row r="56" spans="1:42" s="24" customFormat="1" x14ac:dyDescent="0.3">
      <c r="A56" s="17" t="s">
        <v>75</v>
      </c>
      <c r="B56" s="17" t="s">
        <v>194</v>
      </c>
    </row>
    <row r="57" spans="1:42" s="24" customFormat="1" x14ac:dyDescent="0.3">
      <c r="A57" s="17" t="s">
        <v>75</v>
      </c>
      <c r="B57" s="17" t="s">
        <v>195</v>
      </c>
    </row>
    <row r="58" spans="1:42" s="24" customFormat="1" x14ac:dyDescent="0.3">
      <c r="A58" s="17" t="s">
        <v>75</v>
      </c>
      <c r="B58" s="17" t="s">
        <v>196</v>
      </c>
    </row>
    <row r="59" spans="1:42" s="24" customFormat="1" x14ac:dyDescent="0.3">
      <c r="A59" s="57" t="s">
        <v>75</v>
      </c>
      <c r="B59" s="57" t="s">
        <v>197</v>
      </c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</row>
    <row r="60" spans="1:42" s="24" customFormat="1" x14ac:dyDescent="0.3">
      <c r="A60" s="58" t="s">
        <v>76</v>
      </c>
      <c r="B60" s="58" t="s">
        <v>192</v>
      </c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</row>
    <row r="61" spans="1:42" s="24" customFormat="1" x14ac:dyDescent="0.3">
      <c r="A61" s="17" t="s">
        <v>77</v>
      </c>
      <c r="B61" s="17" t="s">
        <v>192</v>
      </c>
    </row>
    <row r="62" spans="1:42" s="24" customFormat="1" x14ac:dyDescent="0.3">
      <c r="A62" s="17" t="s">
        <v>77</v>
      </c>
      <c r="B62" s="17" t="s">
        <v>193</v>
      </c>
    </row>
    <row r="63" spans="1:42" s="24" customFormat="1" x14ac:dyDescent="0.3">
      <c r="A63" s="17" t="s">
        <v>77</v>
      </c>
      <c r="B63" s="17" t="s">
        <v>194</v>
      </c>
    </row>
    <row r="64" spans="1:42" s="24" customFormat="1" x14ac:dyDescent="0.3">
      <c r="A64" s="17" t="s">
        <v>77</v>
      </c>
      <c r="B64" s="17" t="s">
        <v>195</v>
      </c>
    </row>
    <row r="65" spans="1:42" s="24" customFormat="1" x14ac:dyDescent="0.3">
      <c r="A65" s="17" t="s">
        <v>77</v>
      </c>
      <c r="B65" s="17" t="s">
        <v>196</v>
      </c>
    </row>
    <row r="66" spans="1:42" s="24" customFormat="1" x14ac:dyDescent="0.3">
      <c r="A66" s="17" t="s">
        <v>77</v>
      </c>
      <c r="B66" s="17" t="s">
        <v>197</v>
      </c>
    </row>
    <row r="67" spans="1:42" s="24" customFormat="1" x14ac:dyDescent="0.3">
      <c r="A67" s="17" t="s">
        <v>77</v>
      </c>
      <c r="B67" s="17" t="s">
        <v>198</v>
      </c>
    </row>
    <row r="68" spans="1:42" s="24" customFormat="1" x14ac:dyDescent="0.3">
      <c r="A68" s="57" t="s">
        <v>77</v>
      </c>
      <c r="B68" s="57" t="s">
        <v>199</v>
      </c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</row>
    <row r="69" spans="1:42" s="24" customFormat="1" x14ac:dyDescent="0.3">
      <c r="A69" s="17" t="s">
        <v>78</v>
      </c>
      <c r="B69" s="17" t="s">
        <v>192</v>
      </c>
    </row>
    <row r="70" spans="1:42" s="24" customFormat="1" x14ac:dyDescent="0.3">
      <c r="A70" s="17" t="s">
        <v>78</v>
      </c>
      <c r="B70" s="17" t="s">
        <v>193</v>
      </c>
    </row>
    <row r="71" spans="1:42" s="24" customFormat="1" x14ac:dyDescent="0.3">
      <c r="A71" s="17" t="s">
        <v>78</v>
      </c>
      <c r="B71" s="17" t="s">
        <v>194</v>
      </c>
    </row>
    <row r="72" spans="1:42" s="24" customFormat="1" x14ac:dyDescent="0.3">
      <c r="A72" s="17" t="s">
        <v>78</v>
      </c>
      <c r="B72" s="17" t="s">
        <v>195</v>
      </c>
    </row>
    <row r="73" spans="1:42" s="24" customFormat="1" x14ac:dyDescent="0.3">
      <c r="A73" s="17" t="s">
        <v>78</v>
      </c>
      <c r="B73" s="17" t="s">
        <v>196</v>
      </c>
    </row>
    <row r="74" spans="1:42" s="24" customFormat="1" x14ac:dyDescent="0.3">
      <c r="A74" s="57" t="s">
        <v>78</v>
      </c>
      <c r="B74" s="57" t="s">
        <v>197</v>
      </c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</row>
    <row r="75" spans="1:42" s="24" customFormat="1" x14ac:dyDescent="0.3">
      <c r="A75" s="17" t="s">
        <v>79</v>
      </c>
      <c r="B75" s="17" t="s">
        <v>192</v>
      </c>
    </row>
    <row r="76" spans="1:42" s="24" customFormat="1" x14ac:dyDescent="0.3">
      <c r="A76" s="17" t="s">
        <v>79</v>
      </c>
      <c r="B76" s="17" t="s">
        <v>193</v>
      </c>
    </row>
    <row r="77" spans="1:42" s="24" customFormat="1" x14ac:dyDescent="0.3">
      <c r="A77" s="17" t="s">
        <v>79</v>
      </c>
      <c r="B77" s="17" t="s">
        <v>194</v>
      </c>
    </row>
    <row r="78" spans="1:42" s="24" customFormat="1" x14ac:dyDescent="0.3">
      <c r="A78" s="17" t="s">
        <v>79</v>
      </c>
      <c r="B78" s="17" t="s">
        <v>195</v>
      </c>
    </row>
    <row r="79" spans="1:42" s="24" customFormat="1" x14ac:dyDescent="0.3">
      <c r="A79" s="17" t="s">
        <v>79</v>
      </c>
      <c r="B79" s="17" t="s">
        <v>196</v>
      </c>
    </row>
    <row r="80" spans="1:42" s="24" customFormat="1" x14ac:dyDescent="0.3">
      <c r="A80" s="17" t="s">
        <v>79</v>
      </c>
      <c r="B80" s="17" t="s">
        <v>197</v>
      </c>
    </row>
    <row r="81" spans="1:42" s="24" customFormat="1" x14ac:dyDescent="0.3">
      <c r="A81" s="17" t="s">
        <v>79</v>
      </c>
      <c r="B81" s="17" t="s">
        <v>198</v>
      </c>
    </row>
    <row r="82" spans="1:42" s="24" customFormat="1" x14ac:dyDescent="0.3">
      <c r="A82" s="17" t="s">
        <v>79</v>
      </c>
      <c r="B82" s="17" t="s">
        <v>199</v>
      </c>
    </row>
    <row r="83" spans="1:42" s="24" customFormat="1" x14ac:dyDescent="0.3">
      <c r="A83" s="57" t="s">
        <v>79</v>
      </c>
      <c r="B83" s="57" t="s">
        <v>200</v>
      </c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</row>
    <row r="84" spans="1:42" s="24" customFormat="1" x14ac:dyDescent="0.3">
      <c r="A84" s="17" t="s">
        <v>80</v>
      </c>
      <c r="B84" s="17" t="s">
        <v>192</v>
      </c>
    </row>
    <row r="85" spans="1:42" s="24" customFormat="1" x14ac:dyDescent="0.3">
      <c r="A85" s="17" t="s">
        <v>80</v>
      </c>
      <c r="B85" s="17" t="s">
        <v>193</v>
      </c>
    </row>
    <row r="86" spans="1:42" s="24" customFormat="1" x14ac:dyDescent="0.3">
      <c r="A86" s="17" t="s">
        <v>80</v>
      </c>
      <c r="B86" s="17" t="s">
        <v>194</v>
      </c>
    </row>
    <row r="87" spans="1:42" s="24" customFormat="1" x14ac:dyDescent="0.3">
      <c r="A87" s="17" t="s">
        <v>80</v>
      </c>
      <c r="B87" s="17" t="s">
        <v>195</v>
      </c>
    </row>
    <row r="88" spans="1:42" s="24" customFormat="1" x14ac:dyDescent="0.3">
      <c r="A88" s="17" t="s">
        <v>80</v>
      </c>
      <c r="B88" s="17" t="s">
        <v>196</v>
      </c>
    </row>
    <row r="89" spans="1:42" s="24" customFormat="1" x14ac:dyDescent="0.3">
      <c r="A89" s="17" t="s">
        <v>80</v>
      </c>
      <c r="B89" s="17" t="s">
        <v>197</v>
      </c>
    </row>
    <row r="90" spans="1:42" s="24" customFormat="1" x14ac:dyDescent="0.3">
      <c r="A90" s="17" t="s">
        <v>80</v>
      </c>
      <c r="B90" s="17" t="s">
        <v>198</v>
      </c>
    </row>
    <row r="91" spans="1:42" s="24" customFormat="1" x14ac:dyDescent="0.3">
      <c r="A91" s="17" t="s">
        <v>80</v>
      </c>
      <c r="B91" s="17" t="s">
        <v>199</v>
      </c>
    </row>
    <row r="92" spans="1:42" s="24" customFormat="1" x14ac:dyDescent="0.3">
      <c r="A92" s="17" t="s">
        <v>80</v>
      </c>
      <c r="B92" s="17" t="s">
        <v>200</v>
      </c>
    </row>
    <row r="93" spans="1:42" s="24" customFormat="1" x14ac:dyDescent="0.3">
      <c r="A93" s="57" t="s">
        <v>80</v>
      </c>
      <c r="B93" s="57" t="s">
        <v>169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</row>
    <row r="94" spans="1:42" s="24" customFormat="1" x14ac:dyDescent="0.3">
      <c r="A94" s="17" t="s">
        <v>81</v>
      </c>
      <c r="B94" s="17" t="s">
        <v>192</v>
      </c>
    </row>
    <row r="95" spans="1:42" s="24" customFormat="1" x14ac:dyDescent="0.3">
      <c r="A95" s="17" t="s">
        <v>81</v>
      </c>
      <c r="B95" s="17" t="s">
        <v>193</v>
      </c>
    </row>
    <row r="96" spans="1:42" s="24" customFormat="1" x14ac:dyDescent="0.3">
      <c r="A96" s="17" t="s">
        <v>81</v>
      </c>
      <c r="B96" s="17" t="s">
        <v>194</v>
      </c>
    </row>
    <row r="97" spans="1:2" s="24" customFormat="1" x14ac:dyDescent="0.3">
      <c r="A97" s="17" t="s">
        <v>81</v>
      </c>
      <c r="B97" s="17" t="s">
        <v>195</v>
      </c>
    </row>
    <row r="98" spans="1:2" s="24" customFormat="1" x14ac:dyDescent="0.3">
      <c r="A98" s="17" t="s">
        <v>81</v>
      </c>
      <c r="B98" s="17" t="s">
        <v>196</v>
      </c>
    </row>
    <row r="99" spans="1:2" s="24" customFormat="1" x14ac:dyDescent="0.3">
      <c r="A99" s="17" t="s">
        <v>81</v>
      </c>
      <c r="B99" s="17" t="s">
        <v>197</v>
      </c>
    </row>
    <row r="100" spans="1:2" s="24" customFormat="1" x14ac:dyDescent="0.3">
      <c r="A100" s="17" t="s">
        <v>81</v>
      </c>
      <c r="B100" s="17" t="s">
        <v>198</v>
      </c>
    </row>
    <row r="101" spans="1:2" s="24" customFormat="1" x14ac:dyDescent="0.3">
      <c r="A101" s="17" t="s">
        <v>81</v>
      </c>
      <c r="B101" s="17" t="s">
        <v>199</v>
      </c>
    </row>
    <row r="102" spans="1:2" s="24" customFormat="1" x14ac:dyDescent="0.3">
      <c r="A102" s="17" t="s">
        <v>81</v>
      </c>
      <c r="B102" s="17" t="s">
        <v>200</v>
      </c>
    </row>
    <row r="103" spans="1:2" s="24" customFormat="1" x14ac:dyDescent="0.3">
      <c r="A103" s="17" t="s">
        <v>81</v>
      </c>
      <c r="B103" s="17" t="s">
        <v>169</v>
      </c>
    </row>
    <row r="104" spans="1:2" s="24" customFormat="1" x14ac:dyDescent="0.3">
      <c r="A104" s="17" t="s">
        <v>81</v>
      </c>
      <c r="B104" s="17" t="s">
        <v>170</v>
      </c>
    </row>
    <row r="105" spans="1:2" s="24" customFormat="1" x14ac:dyDescent="0.3">
      <c r="A105" s="17" t="s">
        <v>81</v>
      </c>
      <c r="B105" s="17" t="s">
        <v>171</v>
      </c>
    </row>
    <row r="106" spans="1:2" s="24" customFormat="1" x14ac:dyDescent="0.3">
      <c r="A106" s="17" t="s">
        <v>81</v>
      </c>
      <c r="B106" s="17" t="s">
        <v>172</v>
      </c>
    </row>
    <row r="107" spans="1:2" s="24" customFormat="1" x14ac:dyDescent="0.3">
      <c r="A107" s="17" t="s">
        <v>81</v>
      </c>
      <c r="B107" s="17" t="s">
        <v>173</v>
      </c>
    </row>
    <row r="108" spans="1:2" s="24" customFormat="1" x14ac:dyDescent="0.3">
      <c r="A108" s="17" t="s">
        <v>81</v>
      </c>
      <c r="B108" s="17" t="s">
        <v>174</v>
      </c>
    </row>
    <row r="109" spans="1:2" s="24" customFormat="1" x14ac:dyDescent="0.3">
      <c r="A109" s="17" t="s">
        <v>81</v>
      </c>
      <c r="B109" s="17" t="s">
        <v>175</v>
      </c>
    </row>
    <row r="110" spans="1:2" s="24" customFormat="1" x14ac:dyDescent="0.3">
      <c r="A110" s="17" t="s">
        <v>81</v>
      </c>
      <c r="B110" s="17" t="s">
        <v>176</v>
      </c>
    </row>
    <row r="111" spans="1:2" s="24" customFormat="1" x14ac:dyDescent="0.3">
      <c r="A111" s="17" t="s">
        <v>81</v>
      </c>
      <c r="B111" s="17" t="s">
        <v>177</v>
      </c>
    </row>
    <row r="112" spans="1:2" s="24" customFormat="1" x14ac:dyDescent="0.3">
      <c r="A112" s="17" t="s">
        <v>81</v>
      </c>
      <c r="B112" s="17" t="s">
        <v>178</v>
      </c>
    </row>
    <row r="113" spans="1:42" s="24" customFormat="1" x14ac:dyDescent="0.3">
      <c r="A113" s="17" t="s">
        <v>81</v>
      </c>
      <c r="B113" s="17" t="s">
        <v>179</v>
      </c>
    </row>
    <row r="114" spans="1:42" s="24" customFormat="1" x14ac:dyDescent="0.3">
      <c r="A114" s="17" t="s">
        <v>81</v>
      </c>
      <c r="B114" s="17" t="s">
        <v>180</v>
      </c>
    </row>
    <row r="115" spans="1:42" s="24" customFormat="1" x14ac:dyDescent="0.3">
      <c r="A115" s="17" t="s">
        <v>81</v>
      </c>
      <c r="B115" s="17" t="s">
        <v>181</v>
      </c>
    </row>
    <row r="116" spans="1:42" s="24" customFormat="1" x14ac:dyDescent="0.3">
      <c r="A116" s="57" t="s">
        <v>81</v>
      </c>
      <c r="B116" s="57" t="s">
        <v>182</v>
      </c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</row>
    <row r="117" spans="1:42" s="24" customFormat="1" x14ac:dyDescent="0.3">
      <c r="A117" s="17" t="s">
        <v>82</v>
      </c>
      <c r="B117" s="17" t="s">
        <v>192</v>
      </c>
    </row>
    <row r="118" spans="1:42" s="24" customFormat="1" x14ac:dyDescent="0.3">
      <c r="A118" s="17" t="s">
        <v>82</v>
      </c>
      <c r="B118" s="17" t="s">
        <v>193</v>
      </c>
    </row>
    <row r="119" spans="1:42" s="24" customFormat="1" x14ac:dyDescent="0.3">
      <c r="A119" s="17" t="s">
        <v>82</v>
      </c>
      <c r="B119" s="17" t="s">
        <v>194</v>
      </c>
    </row>
    <row r="120" spans="1:42" s="24" customFormat="1" x14ac:dyDescent="0.3">
      <c r="A120" s="17" t="s">
        <v>82</v>
      </c>
      <c r="B120" s="17" t="s">
        <v>195</v>
      </c>
    </row>
    <row r="121" spans="1:42" s="24" customFormat="1" x14ac:dyDescent="0.3">
      <c r="A121" s="17" t="s">
        <v>82</v>
      </c>
      <c r="B121" s="17" t="s">
        <v>196</v>
      </c>
    </row>
    <row r="122" spans="1:42" s="24" customFormat="1" x14ac:dyDescent="0.3">
      <c r="A122" s="17" t="s">
        <v>82</v>
      </c>
      <c r="B122" s="17" t="s">
        <v>197</v>
      </c>
    </row>
    <row r="123" spans="1:42" s="24" customFormat="1" x14ac:dyDescent="0.3">
      <c r="A123" s="17" t="s">
        <v>82</v>
      </c>
      <c r="B123" s="17" t="s">
        <v>198</v>
      </c>
    </row>
    <row r="124" spans="1:42" s="24" customFormat="1" x14ac:dyDescent="0.3">
      <c r="A124" s="17" t="s">
        <v>82</v>
      </c>
      <c r="B124" s="17" t="s">
        <v>199</v>
      </c>
    </row>
    <row r="125" spans="1:42" s="24" customFormat="1" x14ac:dyDescent="0.3">
      <c r="A125" s="17" t="s">
        <v>82</v>
      </c>
      <c r="B125" s="17" t="s">
        <v>200</v>
      </c>
    </row>
    <row r="126" spans="1:42" s="24" customFormat="1" x14ac:dyDescent="0.3">
      <c r="A126" s="17" t="s">
        <v>82</v>
      </c>
      <c r="B126" s="17" t="s">
        <v>169</v>
      </c>
    </row>
    <row r="127" spans="1:42" s="24" customFormat="1" x14ac:dyDescent="0.3">
      <c r="A127" s="17" t="s">
        <v>82</v>
      </c>
      <c r="B127" s="17" t="s">
        <v>170</v>
      </c>
    </row>
    <row r="128" spans="1:42" s="24" customFormat="1" x14ac:dyDescent="0.3">
      <c r="A128" s="17" t="s">
        <v>82</v>
      </c>
      <c r="B128" s="17" t="s">
        <v>171</v>
      </c>
    </row>
    <row r="129" spans="1:42" s="24" customFormat="1" x14ac:dyDescent="0.3">
      <c r="A129" s="17" t="s">
        <v>82</v>
      </c>
      <c r="B129" s="17" t="s">
        <v>172</v>
      </c>
    </row>
    <row r="130" spans="1:42" s="24" customFormat="1" x14ac:dyDescent="0.3">
      <c r="A130" s="17" t="s">
        <v>82</v>
      </c>
      <c r="B130" s="17" t="s">
        <v>173</v>
      </c>
    </row>
    <row r="131" spans="1:42" s="24" customFormat="1" x14ac:dyDescent="0.3">
      <c r="A131" s="57" t="s">
        <v>82</v>
      </c>
      <c r="B131" s="57" t="s">
        <v>174</v>
      </c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</row>
    <row r="132" spans="1:42" s="24" customFormat="1" x14ac:dyDescent="0.3">
      <c r="A132" s="17" t="s">
        <v>83</v>
      </c>
      <c r="B132" s="17" t="s">
        <v>192</v>
      </c>
    </row>
    <row r="133" spans="1:42" s="24" customFormat="1" x14ac:dyDescent="0.3">
      <c r="A133" s="17" t="s">
        <v>83</v>
      </c>
      <c r="B133" s="17" t="s">
        <v>193</v>
      </c>
    </row>
    <row r="134" spans="1:42" s="24" customFormat="1" x14ac:dyDescent="0.3">
      <c r="A134" s="17" t="s">
        <v>83</v>
      </c>
      <c r="B134" s="17" t="s">
        <v>194</v>
      </c>
    </row>
    <row r="135" spans="1:42" s="24" customFormat="1" x14ac:dyDescent="0.3">
      <c r="A135" s="17" t="s">
        <v>83</v>
      </c>
      <c r="B135" s="17" t="s">
        <v>195</v>
      </c>
    </row>
    <row r="136" spans="1:42" s="24" customFormat="1" x14ac:dyDescent="0.3">
      <c r="A136" s="17" t="s">
        <v>83</v>
      </c>
      <c r="B136" s="17" t="s">
        <v>196</v>
      </c>
    </row>
    <row r="137" spans="1:42" s="24" customFormat="1" x14ac:dyDescent="0.3">
      <c r="A137" s="17" t="s">
        <v>83</v>
      </c>
      <c r="B137" s="17" t="s">
        <v>197</v>
      </c>
    </row>
    <row r="138" spans="1:42" s="24" customFormat="1" x14ac:dyDescent="0.3">
      <c r="A138" s="17" t="s">
        <v>83</v>
      </c>
      <c r="B138" s="17" t="s">
        <v>198</v>
      </c>
    </row>
    <row r="139" spans="1:42" s="24" customFormat="1" x14ac:dyDescent="0.3">
      <c r="A139" s="17" t="s">
        <v>83</v>
      </c>
      <c r="B139" s="17" t="s">
        <v>199</v>
      </c>
    </row>
    <row r="140" spans="1:42" s="24" customFormat="1" x14ac:dyDescent="0.3">
      <c r="A140" s="17" t="s">
        <v>83</v>
      </c>
      <c r="B140" s="17" t="s">
        <v>200</v>
      </c>
    </row>
    <row r="141" spans="1:42" s="24" customFormat="1" x14ac:dyDescent="0.3">
      <c r="A141" s="17" t="s">
        <v>83</v>
      </c>
      <c r="B141" s="17" t="s">
        <v>169</v>
      </c>
    </row>
    <row r="142" spans="1:42" s="24" customFormat="1" x14ac:dyDescent="0.3">
      <c r="A142" s="17" t="s">
        <v>83</v>
      </c>
      <c r="B142" s="17" t="s">
        <v>170</v>
      </c>
    </row>
    <row r="143" spans="1:42" s="24" customFormat="1" x14ac:dyDescent="0.3">
      <c r="A143" s="17" t="s">
        <v>83</v>
      </c>
      <c r="B143" s="17" t="s">
        <v>171</v>
      </c>
    </row>
    <row r="144" spans="1:42" s="24" customFormat="1" x14ac:dyDescent="0.3">
      <c r="A144" s="17" t="s">
        <v>83</v>
      </c>
      <c r="B144" s="17" t="s">
        <v>172</v>
      </c>
    </row>
    <row r="145" spans="1:42" s="24" customFormat="1" x14ac:dyDescent="0.3">
      <c r="A145" s="17" t="s">
        <v>83</v>
      </c>
      <c r="B145" s="17" t="s">
        <v>173</v>
      </c>
    </row>
    <row r="146" spans="1:42" s="24" customFormat="1" x14ac:dyDescent="0.3">
      <c r="A146" s="57" t="s">
        <v>83</v>
      </c>
      <c r="B146" s="57" t="s">
        <v>174</v>
      </c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</row>
    <row r="147" spans="1:42" s="24" customFormat="1" x14ac:dyDescent="0.3">
      <c r="A147" s="17" t="s">
        <v>84</v>
      </c>
      <c r="B147" s="17" t="s">
        <v>192</v>
      </c>
    </row>
    <row r="148" spans="1:42" s="24" customFormat="1" x14ac:dyDescent="0.3">
      <c r="A148" s="17" t="s">
        <v>84</v>
      </c>
      <c r="B148" s="17" t="s">
        <v>193</v>
      </c>
    </row>
    <row r="149" spans="1:42" s="24" customFormat="1" x14ac:dyDescent="0.3">
      <c r="A149" s="17" t="s">
        <v>84</v>
      </c>
      <c r="B149" s="17" t="s">
        <v>194</v>
      </c>
    </row>
    <row r="150" spans="1:42" s="24" customFormat="1" x14ac:dyDescent="0.3">
      <c r="A150" s="17" t="s">
        <v>84</v>
      </c>
      <c r="B150" s="17" t="s">
        <v>195</v>
      </c>
    </row>
    <row r="151" spans="1:42" s="24" customFormat="1" x14ac:dyDescent="0.3">
      <c r="A151" s="17" t="s">
        <v>84</v>
      </c>
      <c r="B151" s="17" t="s">
        <v>196</v>
      </c>
    </row>
    <row r="152" spans="1:42" s="24" customFormat="1" x14ac:dyDescent="0.3">
      <c r="A152" s="17" t="s">
        <v>84</v>
      </c>
      <c r="B152" s="17" t="s">
        <v>197</v>
      </c>
    </row>
    <row r="153" spans="1:42" s="24" customFormat="1" x14ac:dyDescent="0.3">
      <c r="A153" s="17" t="s">
        <v>84</v>
      </c>
      <c r="B153" s="17" t="s">
        <v>198</v>
      </c>
    </row>
    <row r="154" spans="1:42" s="24" customFormat="1" x14ac:dyDescent="0.3">
      <c r="A154" s="17" t="s">
        <v>84</v>
      </c>
      <c r="B154" s="17" t="s">
        <v>199</v>
      </c>
    </row>
    <row r="155" spans="1:42" s="24" customFormat="1" x14ac:dyDescent="0.3">
      <c r="A155" s="57" t="s">
        <v>84</v>
      </c>
      <c r="B155" s="57" t="s">
        <v>200</v>
      </c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</row>
    <row r="156" spans="1:42" s="24" customFormat="1" x14ac:dyDescent="0.3">
      <c r="A156" s="17" t="s">
        <v>85</v>
      </c>
      <c r="B156" s="17" t="s">
        <v>192</v>
      </c>
    </row>
    <row r="157" spans="1:42" s="24" customFormat="1" x14ac:dyDescent="0.3">
      <c r="A157" s="17" t="s">
        <v>85</v>
      </c>
      <c r="B157" s="17" t="s">
        <v>193</v>
      </c>
    </row>
    <row r="158" spans="1:42" s="24" customFormat="1" x14ac:dyDescent="0.3">
      <c r="A158" s="17" t="s">
        <v>85</v>
      </c>
      <c r="B158" s="17" t="s">
        <v>194</v>
      </c>
    </row>
    <row r="159" spans="1:42" s="24" customFormat="1" x14ac:dyDescent="0.3">
      <c r="A159" s="17" t="s">
        <v>85</v>
      </c>
      <c r="B159" s="17" t="s">
        <v>195</v>
      </c>
    </row>
    <row r="160" spans="1:42" s="24" customFormat="1" x14ac:dyDescent="0.3">
      <c r="A160" s="17" t="s">
        <v>85</v>
      </c>
      <c r="B160" s="17" t="s">
        <v>196</v>
      </c>
    </row>
    <row r="161" spans="1:42" s="24" customFormat="1" x14ac:dyDescent="0.3">
      <c r="A161" s="57" t="s">
        <v>85</v>
      </c>
      <c r="B161" s="57" t="s">
        <v>197</v>
      </c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</row>
    <row r="162" spans="1:42" s="24" customFormat="1" x14ac:dyDescent="0.3">
      <c r="A162" s="17" t="s">
        <v>86</v>
      </c>
      <c r="B162" s="17" t="s">
        <v>192</v>
      </c>
    </row>
    <row r="163" spans="1:42" s="24" customFormat="1" x14ac:dyDescent="0.3">
      <c r="A163" s="17" t="s">
        <v>86</v>
      </c>
      <c r="B163" s="17" t="s">
        <v>193</v>
      </c>
    </row>
    <row r="164" spans="1:42" s="24" customFormat="1" x14ac:dyDescent="0.3">
      <c r="A164" s="17" t="s">
        <v>86</v>
      </c>
      <c r="B164" s="17" t="s">
        <v>194</v>
      </c>
    </row>
    <row r="165" spans="1:42" s="24" customFormat="1" x14ac:dyDescent="0.3">
      <c r="A165" s="17" t="s">
        <v>86</v>
      </c>
      <c r="B165" s="17" t="s">
        <v>195</v>
      </c>
    </row>
    <row r="166" spans="1:42" s="24" customFormat="1" x14ac:dyDescent="0.3">
      <c r="A166" s="17" t="s">
        <v>86</v>
      </c>
      <c r="B166" s="17" t="s">
        <v>196</v>
      </c>
    </row>
    <row r="167" spans="1:42" s="24" customFormat="1" x14ac:dyDescent="0.3">
      <c r="A167" s="57" t="s">
        <v>86</v>
      </c>
      <c r="B167" s="57" t="s">
        <v>197</v>
      </c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</row>
    <row r="168" spans="1:42" s="24" customFormat="1" x14ac:dyDescent="0.3">
      <c r="A168" s="17"/>
      <c r="B168" s="17"/>
    </row>
    <row r="169" spans="1:42" s="24" customFormat="1" x14ac:dyDescent="0.3">
      <c r="A169" s="17"/>
      <c r="B169" s="17"/>
    </row>
    <row r="170" spans="1:42" s="24" customFormat="1" x14ac:dyDescent="0.3">
      <c r="A170" s="17"/>
      <c r="B170" s="17"/>
    </row>
    <row r="171" spans="1:42" s="24" customFormat="1" x14ac:dyDescent="0.3">
      <c r="A171" s="17"/>
      <c r="B171" s="17"/>
    </row>
    <row r="172" spans="1:42" s="24" customFormat="1" x14ac:dyDescent="0.3">
      <c r="A172" s="17"/>
      <c r="B172" s="17"/>
    </row>
    <row r="173" spans="1:42" s="24" customFormat="1" x14ac:dyDescent="0.3">
      <c r="A173" s="17"/>
      <c r="B173" s="17"/>
    </row>
    <row r="174" spans="1:42" s="24" customFormat="1" x14ac:dyDescent="0.3">
      <c r="A174" s="17"/>
      <c r="B174" s="17"/>
    </row>
    <row r="175" spans="1:42" s="24" customFormat="1" x14ac:dyDescent="0.3">
      <c r="A175" s="17"/>
      <c r="B175" s="17"/>
    </row>
    <row r="176" spans="1:42" s="24" customFormat="1" x14ac:dyDescent="0.3">
      <c r="A176" s="17"/>
      <c r="B176" s="17"/>
    </row>
    <row r="177" spans="1:2" s="24" customFormat="1" x14ac:dyDescent="0.3">
      <c r="A177" s="17"/>
      <c r="B177" s="17"/>
    </row>
    <row r="178" spans="1:2" s="24" customFormat="1" x14ac:dyDescent="0.3">
      <c r="A178" s="17"/>
      <c r="B178" s="17"/>
    </row>
    <row r="179" spans="1:2" s="24" customFormat="1" x14ac:dyDescent="0.3">
      <c r="A179" s="17"/>
      <c r="B179" s="17"/>
    </row>
    <row r="180" spans="1:2" s="24" customFormat="1" x14ac:dyDescent="0.3">
      <c r="A180" s="17"/>
      <c r="B180" s="17"/>
    </row>
    <row r="181" spans="1:2" s="24" customFormat="1" x14ac:dyDescent="0.3">
      <c r="A181" s="17"/>
      <c r="B181" s="17"/>
    </row>
    <row r="182" spans="1:2" s="24" customFormat="1" x14ac:dyDescent="0.3">
      <c r="A182" s="17"/>
      <c r="B182" s="17"/>
    </row>
    <row r="183" spans="1:2" s="24" customFormat="1" x14ac:dyDescent="0.3">
      <c r="A183" s="17"/>
      <c r="B183" s="17"/>
    </row>
    <row r="184" spans="1:2" s="24" customFormat="1" x14ac:dyDescent="0.3">
      <c r="A184" s="17"/>
      <c r="B184" s="17"/>
    </row>
    <row r="185" spans="1:2" s="24" customFormat="1" x14ac:dyDescent="0.3">
      <c r="A185" s="17"/>
      <c r="B185" s="17"/>
    </row>
    <row r="186" spans="1:2" s="24" customFormat="1" x14ac:dyDescent="0.3">
      <c r="A186" s="17"/>
      <c r="B186" s="17"/>
    </row>
    <row r="187" spans="1:2" s="24" customFormat="1" x14ac:dyDescent="0.3">
      <c r="A187" s="17"/>
      <c r="B187" s="17"/>
    </row>
    <row r="188" spans="1:2" s="24" customFormat="1" x14ac:dyDescent="0.3">
      <c r="A188" s="17"/>
      <c r="B188" s="17"/>
    </row>
    <row r="189" spans="1:2" s="24" customFormat="1" x14ac:dyDescent="0.3">
      <c r="A189" s="17"/>
      <c r="B189" s="17"/>
    </row>
    <row r="190" spans="1:2" s="24" customFormat="1" x14ac:dyDescent="0.3">
      <c r="A190" s="17"/>
      <c r="B190" s="17"/>
    </row>
    <row r="191" spans="1:2" s="24" customFormat="1" x14ac:dyDescent="0.3">
      <c r="A191" s="17"/>
      <c r="B191" s="17"/>
    </row>
    <row r="192" spans="1:2" s="24" customFormat="1" x14ac:dyDescent="0.3">
      <c r="A192" s="17"/>
      <c r="B192" s="17"/>
    </row>
    <row r="193" spans="1:2" s="24" customFormat="1" x14ac:dyDescent="0.3">
      <c r="A193" s="17"/>
      <c r="B193" s="17"/>
    </row>
    <row r="194" spans="1:2" s="24" customFormat="1" x14ac:dyDescent="0.3">
      <c r="A194" s="17"/>
      <c r="B194" s="17"/>
    </row>
    <row r="195" spans="1:2" s="24" customFormat="1" x14ac:dyDescent="0.3">
      <c r="A195" s="17"/>
      <c r="B195" s="17"/>
    </row>
    <row r="196" spans="1:2" s="24" customFormat="1" x14ac:dyDescent="0.3">
      <c r="A196" s="17"/>
      <c r="B196" s="17"/>
    </row>
    <row r="197" spans="1:2" s="24" customFormat="1" x14ac:dyDescent="0.3">
      <c r="A197" s="17"/>
      <c r="B197" s="17"/>
    </row>
    <row r="198" spans="1:2" s="24" customFormat="1" x14ac:dyDescent="0.3">
      <c r="A198" s="17"/>
      <c r="B198" s="17"/>
    </row>
    <row r="199" spans="1:2" s="24" customFormat="1" x14ac:dyDescent="0.3">
      <c r="A199" s="17"/>
      <c r="B199" s="17"/>
    </row>
    <row r="200" spans="1:2" s="24" customFormat="1" x14ac:dyDescent="0.3">
      <c r="A200" s="17"/>
      <c r="B200" s="17"/>
    </row>
    <row r="201" spans="1:2" s="24" customFormat="1" x14ac:dyDescent="0.3">
      <c r="A201" s="17"/>
      <c r="B201" s="17"/>
    </row>
    <row r="202" spans="1:2" s="24" customFormat="1" x14ac:dyDescent="0.3">
      <c r="A202" s="17"/>
      <c r="B202" s="17"/>
    </row>
    <row r="203" spans="1:2" s="24" customFormat="1" x14ac:dyDescent="0.3">
      <c r="A203" s="17"/>
      <c r="B203" s="17"/>
    </row>
    <row r="204" spans="1:2" s="24" customFormat="1" x14ac:dyDescent="0.3">
      <c r="A204" s="17"/>
      <c r="B204" s="17"/>
    </row>
    <row r="205" spans="1:2" s="24" customFormat="1" x14ac:dyDescent="0.3">
      <c r="A205" s="17"/>
      <c r="B205" s="17"/>
    </row>
    <row r="206" spans="1:2" s="24" customFormat="1" x14ac:dyDescent="0.3">
      <c r="A206" s="17"/>
      <c r="B206" s="17"/>
    </row>
    <row r="207" spans="1:2" s="24" customFormat="1" x14ac:dyDescent="0.3">
      <c r="A207" s="17"/>
      <c r="B207" s="17"/>
    </row>
    <row r="208" spans="1:2" s="24" customFormat="1" x14ac:dyDescent="0.3">
      <c r="A208" s="17"/>
      <c r="B208" s="17"/>
    </row>
    <row r="209" spans="1:2" s="24" customFormat="1" x14ac:dyDescent="0.3">
      <c r="A209" s="17"/>
      <c r="B209" s="17"/>
    </row>
    <row r="210" spans="1:2" s="24" customFormat="1" x14ac:dyDescent="0.3">
      <c r="A210" s="17"/>
      <c r="B210" s="17"/>
    </row>
    <row r="211" spans="1:2" s="24" customFormat="1" x14ac:dyDescent="0.3">
      <c r="A211" s="17"/>
      <c r="B211" s="17"/>
    </row>
    <row r="212" spans="1:2" s="24" customFormat="1" x14ac:dyDescent="0.3">
      <c r="A212" s="17"/>
      <c r="B212" s="17"/>
    </row>
    <row r="213" spans="1:2" s="24" customFormat="1" x14ac:dyDescent="0.3">
      <c r="A213" s="17"/>
      <c r="B213" s="17"/>
    </row>
    <row r="214" spans="1:2" s="24" customFormat="1" x14ac:dyDescent="0.3">
      <c r="A214" s="17"/>
      <c r="B214" s="17"/>
    </row>
    <row r="215" spans="1:2" s="24" customFormat="1" x14ac:dyDescent="0.3">
      <c r="A215" s="17"/>
      <c r="B215" s="17"/>
    </row>
    <row r="216" spans="1:2" s="24" customFormat="1" x14ac:dyDescent="0.3">
      <c r="A216" s="17"/>
      <c r="B216" s="17"/>
    </row>
    <row r="217" spans="1:2" s="24" customFormat="1" x14ac:dyDescent="0.3">
      <c r="A217" s="17"/>
      <c r="B217" s="17"/>
    </row>
    <row r="218" spans="1:2" s="24" customFormat="1" x14ac:dyDescent="0.3">
      <c r="A218" s="17"/>
      <c r="B218" s="17"/>
    </row>
    <row r="219" spans="1:2" s="24" customFormat="1" x14ac:dyDescent="0.3">
      <c r="A219" s="17"/>
      <c r="B219" s="17"/>
    </row>
    <row r="220" spans="1:2" s="24" customFormat="1" x14ac:dyDescent="0.3">
      <c r="A220" s="17"/>
      <c r="B220" s="17"/>
    </row>
    <row r="221" spans="1:2" s="24" customFormat="1" x14ac:dyDescent="0.3">
      <c r="A221" s="17"/>
      <c r="B221" s="17"/>
    </row>
    <row r="222" spans="1:2" s="24" customFormat="1" x14ac:dyDescent="0.3">
      <c r="A222" s="17"/>
      <c r="B222" s="17"/>
    </row>
    <row r="223" spans="1:2" s="24" customFormat="1" x14ac:dyDescent="0.3">
      <c r="A223" s="17"/>
      <c r="B223" s="17"/>
    </row>
    <row r="224" spans="1:2" s="24" customFormat="1" x14ac:dyDescent="0.3">
      <c r="A224" s="17"/>
      <c r="B224" s="17"/>
    </row>
    <row r="225" spans="1:2" s="24" customFormat="1" x14ac:dyDescent="0.3">
      <c r="A225" s="17"/>
      <c r="B225" s="17"/>
    </row>
    <row r="226" spans="1:2" s="24" customFormat="1" x14ac:dyDescent="0.3">
      <c r="A226" s="17"/>
      <c r="B226" s="17"/>
    </row>
    <row r="227" spans="1:2" s="24" customFormat="1" x14ac:dyDescent="0.3">
      <c r="A227" s="17"/>
      <c r="B227" s="17"/>
    </row>
    <row r="228" spans="1:2" s="24" customFormat="1" x14ac:dyDescent="0.3">
      <c r="A228" s="17"/>
      <c r="B228" s="17"/>
    </row>
    <row r="229" spans="1:2" s="24" customFormat="1" x14ac:dyDescent="0.3">
      <c r="A229" s="17"/>
      <c r="B229" s="17"/>
    </row>
    <row r="230" spans="1:2" s="24" customFormat="1" x14ac:dyDescent="0.3">
      <c r="A230" s="17"/>
      <c r="B230" s="17"/>
    </row>
    <row r="231" spans="1:2" s="24" customFormat="1" x14ac:dyDescent="0.3">
      <c r="A231" s="17"/>
      <c r="B231" s="17"/>
    </row>
    <row r="232" spans="1:2" s="24" customFormat="1" x14ac:dyDescent="0.3">
      <c r="A232" s="17"/>
      <c r="B232" s="17"/>
    </row>
    <row r="233" spans="1:2" s="24" customFormat="1" x14ac:dyDescent="0.3">
      <c r="A233" s="17"/>
      <c r="B233" s="17"/>
    </row>
    <row r="234" spans="1:2" s="24" customFormat="1" x14ac:dyDescent="0.3">
      <c r="A234" s="17"/>
      <c r="B234" s="17"/>
    </row>
    <row r="235" spans="1:2" s="24" customFormat="1" x14ac:dyDescent="0.3">
      <c r="A235" s="17"/>
      <c r="B235" s="17"/>
    </row>
    <row r="236" spans="1:2" s="24" customFormat="1" x14ac:dyDescent="0.3">
      <c r="A236" s="17"/>
      <c r="B236" s="17"/>
    </row>
    <row r="237" spans="1:2" s="24" customFormat="1" x14ac:dyDescent="0.3">
      <c r="A237" s="17"/>
      <c r="B237" s="17"/>
    </row>
    <row r="238" spans="1:2" s="24" customFormat="1" x14ac:dyDescent="0.3">
      <c r="A238" s="17"/>
      <c r="B238" s="17"/>
    </row>
    <row r="239" spans="1:2" s="24" customFormat="1" x14ac:dyDescent="0.3">
      <c r="A239" s="17"/>
      <c r="B239" s="17"/>
    </row>
    <row r="240" spans="1:2" s="24" customFormat="1" x14ac:dyDescent="0.3">
      <c r="A240" s="17"/>
      <c r="B240" s="17"/>
    </row>
    <row r="241" spans="1:2" s="24" customFormat="1" x14ac:dyDescent="0.3">
      <c r="A241" s="17"/>
      <c r="B241" s="17"/>
    </row>
    <row r="242" spans="1:2" s="24" customFormat="1" x14ac:dyDescent="0.3">
      <c r="A242" s="17"/>
      <c r="B242" s="17"/>
    </row>
    <row r="243" spans="1:2" s="24" customFormat="1" x14ac:dyDescent="0.3">
      <c r="A243" s="17"/>
      <c r="B243" s="17"/>
    </row>
    <row r="244" spans="1:2" s="24" customFormat="1" x14ac:dyDescent="0.3">
      <c r="A244" s="17"/>
      <c r="B244" s="17"/>
    </row>
    <row r="245" spans="1:2" s="24" customFormat="1" x14ac:dyDescent="0.3">
      <c r="A245" s="17"/>
      <c r="B245" s="17"/>
    </row>
    <row r="246" spans="1:2" s="24" customFormat="1" x14ac:dyDescent="0.3">
      <c r="A246" s="17"/>
      <c r="B246" s="17"/>
    </row>
    <row r="247" spans="1:2" s="24" customFormat="1" x14ac:dyDescent="0.3">
      <c r="A247" s="17"/>
      <c r="B247" s="17"/>
    </row>
    <row r="248" spans="1:2" s="24" customFormat="1" x14ac:dyDescent="0.3">
      <c r="A248" s="17"/>
      <c r="B248" s="17"/>
    </row>
    <row r="249" spans="1:2" s="24" customFormat="1" x14ac:dyDescent="0.3">
      <c r="A249" s="17"/>
      <c r="B249" s="17"/>
    </row>
    <row r="250" spans="1:2" s="24" customFormat="1" x14ac:dyDescent="0.3">
      <c r="A250" s="17"/>
      <c r="B250" s="17"/>
    </row>
    <row r="251" spans="1:2" s="24" customFormat="1" x14ac:dyDescent="0.3">
      <c r="A251" s="17"/>
      <c r="B251" s="17"/>
    </row>
    <row r="252" spans="1:2" s="24" customFormat="1" x14ac:dyDescent="0.3">
      <c r="A252" s="17"/>
      <c r="B252" s="17"/>
    </row>
    <row r="253" spans="1:2" s="24" customFormat="1" x14ac:dyDescent="0.3">
      <c r="A253" s="17"/>
      <c r="B253" s="17"/>
    </row>
    <row r="254" spans="1:2" s="24" customFormat="1" x14ac:dyDescent="0.3">
      <c r="A254" s="17"/>
      <c r="B254" s="17"/>
    </row>
    <row r="255" spans="1:2" s="24" customFormat="1" x14ac:dyDescent="0.3">
      <c r="A255" s="17"/>
      <c r="B255" s="17"/>
    </row>
    <row r="256" spans="1:2" s="24" customFormat="1" x14ac:dyDescent="0.3">
      <c r="A256" s="17"/>
      <c r="B256" s="17"/>
    </row>
    <row r="257" spans="1:2" s="24" customFormat="1" x14ac:dyDescent="0.3">
      <c r="A257" s="17"/>
      <c r="B257" s="17"/>
    </row>
    <row r="258" spans="1:2" s="24" customFormat="1" x14ac:dyDescent="0.3">
      <c r="A258" s="17"/>
      <c r="B258" s="17"/>
    </row>
    <row r="259" spans="1:2" s="24" customFormat="1" x14ac:dyDescent="0.3">
      <c r="A259" s="17"/>
      <c r="B259" s="17"/>
    </row>
    <row r="260" spans="1:2" s="24" customFormat="1" x14ac:dyDescent="0.3">
      <c r="A260" s="17"/>
      <c r="B260" s="17"/>
    </row>
    <row r="261" spans="1:2" s="24" customFormat="1" x14ac:dyDescent="0.3">
      <c r="A261" s="17"/>
      <c r="B261" s="17"/>
    </row>
    <row r="262" spans="1:2" s="24" customFormat="1" x14ac:dyDescent="0.3">
      <c r="A262" s="17"/>
      <c r="B262" s="17"/>
    </row>
    <row r="263" spans="1:2" s="24" customFormat="1" x14ac:dyDescent="0.3">
      <c r="A263" s="17"/>
      <c r="B263" s="17"/>
    </row>
    <row r="264" spans="1:2" s="24" customFormat="1" x14ac:dyDescent="0.3">
      <c r="A264" s="17"/>
      <c r="B264" s="17"/>
    </row>
    <row r="265" spans="1:2" s="24" customFormat="1" x14ac:dyDescent="0.3">
      <c r="A265" s="17"/>
      <c r="B265" s="17"/>
    </row>
    <row r="266" spans="1:2" s="24" customFormat="1" x14ac:dyDescent="0.3">
      <c r="A266" s="17"/>
      <c r="B266" s="17"/>
    </row>
    <row r="267" spans="1:2" s="24" customFormat="1" x14ac:dyDescent="0.3">
      <c r="A267" s="17"/>
      <c r="B267" s="17"/>
    </row>
    <row r="268" spans="1:2" s="24" customFormat="1" x14ac:dyDescent="0.3">
      <c r="A268" s="17"/>
      <c r="B268" s="17"/>
    </row>
    <row r="269" spans="1:2" s="24" customFormat="1" x14ac:dyDescent="0.3">
      <c r="A269" s="17"/>
      <c r="B269" s="17"/>
    </row>
    <row r="270" spans="1:2" s="24" customFormat="1" x14ac:dyDescent="0.3">
      <c r="A270" s="17"/>
      <c r="B270" s="17"/>
    </row>
    <row r="271" spans="1:2" s="24" customFormat="1" x14ac:dyDescent="0.3">
      <c r="A271" s="17"/>
      <c r="B271" s="17"/>
    </row>
    <row r="272" spans="1:2" s="24" customFormat="1" x14ac:dyDescent="0.3">
      <c r="A272" s="17"/>
      <c r="B272" s="17"/>
    </row>
    <row r="273" spans="1:2" s="24" customFormat="1" x14ac:dyDescent="0.3">
      <c r="A273" s="17"/>
      <c r="B273" s="17"/>
    </row>
    <row r="274" spans="1:2" s="24" customFormat="1" x14ac:dyDescent="0.3">
      <c r="A274" s="17"/>
      <c r="B274" s="17"/>
    </row>
    <row r="275" spans="1:2" s="24" customFormat="1" x14ac:dyDescent="0.3">
      <c r="A275" s="17"/>
      <c r="B275" s="17"/>
    </row>
    <row r="276" spans="1:2" s="24" customFormat="1" x14ac:dyDescent="0.3">
      <c r="A276" s="17"/>
      <c r="B276" s="17"/>
    </row>
    <row r="277" spans="1:2" s="24" customFormat="1" x14ac:dyDescent="0.3">
      <c r="A277" s="17"/>
      <c r="B277" s="17"/>
    </row>
    <row r="278" spans="1:2" s="24" customFormat="1" x14ac:dyDescent="0.3">
      <c r="A278" s="17"/>
      <c r="B278" s="17"/>
    </row>
    <row r="279" spans="1:2" s="24" customFormat="1" x14ac:dyDescent="0.3">
      <c r="A279" s="17"/>
      <c r="B279" s="17"/>
    </row>
    <row r="280" spans="1:2" s="24" customFormat="1" x14ac:dyDescent="0.3">
      <c r="A280" s="17"/>
      <c r="B280" s="17"/>
    </row>
    <row r="281" spans="1:2" s="24" customFormat="1" x14ac:dyDescent="0.3">
      <c r="A281" s="17"/>
      <c r="B281" s="17"/>
    </row>
    <row r="282" spans="1:2" s="24" customFormat="1" x14ac:dyDescent="0.3">
      <c r="A282" s="17"/>
      <c r="B282" s="17"/>
    </row>
    <row r="283" spans="1:2" s="24" customFormat="1" x14ac:dyDescent="0.3">
      <c r="A283" s="17"/>
      <c r="B283" s="17"/>
    </row>
    <row r="284" spans="1:2" s="24" customFormat="1" x14ac:dyDescent="0.3">
      <c r="A284" s="17"/>
      <c r="B284" s="17"/>
    </row>
    <row r="285" spans="1:2" s="24" customFormat="1" x14ac:dyDescent="0.3">
      <c r="A285" s="17"/>
      <c r="B285" s="17"/>
    </row>
    <row r="286" spans="1:2" s="24" customFormat="1" x14ac:dyDescent="0.3">
      <c r="A286" s="17"/>
      <c r="B286" s="17"/>
    </row>
    <row r="287" spans="1:2" s="24" customFormat="1" x14ac:dyDescent="0.3">
      <c r="A287" s="17"/>
      <c r="B287" s="17"/>
    </row>
    <row r="288" spans="1:2" s="24" customFormat="1" x14ac:dyDescent="0.3">
      <c r="A288" s="17"/>
      <c r="B288" s="17"/>
    </row>
    <row r="289" spans="1:2" s="24" customFormat="1" x14ac:dyDescent="0.3">
      <c r="A289" s="17"/>
      <c r="B289" s="17"/>
    </row>
    <row r="290" spans="1:2" s="24" customFormat="1" x14ac:dyDescent="0.3">
      <c r="A290" s="17"/>
      <c r="B290" s="17"/>
    </row>
    <row r="291" spans="1:2" s="24" customFormat="1" x14ac:dyDescent="0.3">
      <c r="A291" s="17"/>
      <c r="B291" s="17"/>
    </row>
    <row r="292" spans="1:2" s="24" customFormat="1" x14ac:dyDescent="0.3">
      <c r="A292" s="17"/>
      <c r="B292" s="17"/>
    </row>
    <row r="293" spans="1:2" s="24" customFormat="1" x14ac:dyDescent="0.3">
      <c r="A293" s="17"/>
      <c r="B293" s="17"/>
    </row>
    <row r="294" spans="1:2" s="24" customFormat="1" x14ac:dyDescent="0.3">
      <c r="A294" s="17"/>
      <c r="B294" s="17"/>
    </row>
    <row r="295" spans="1:2" s="24" customFormat="1" x14ac:dyDescent="0.3">
      <c r="A295" s="17"/>
      <c r="B295" s="17"/>
    </row>
    <row r="296" spans="1:2" s="24" customFormat="1" x14ac:dyDescent="0.3">
      <c r="A296" s="17"/>
      <c r="B296" s="17"/>
    </row>
    <row r="297" spans="1:2" s="24" customFormat="1" x14ac:dyDescent="0.3">
      <c r="A297" s="17"/>
      <c r="B297" s="17"/>
    </row>
    <row r="298" spans="1:2" s="24" customFormat="1" x14ac:dyDescent="0.3">
      <c r="A298" s="17"/>
      <c r="B298" s="17"/>
    </row>
    <row r="299" spans="1:2" s="24" customFormat="1" x14ac:dyDescent="0.3">
      <c r="A299" s="17"/>
      <c r="B299" s="17"/>
    </row>
    <row r="300" spans="1:2" s="24" customFormat="1" x14ac:dyDescent="0.3">
      <c r="A300" s="17"/>
      <c r="B300" s="17"/>
    </row>
    <row r="301" spans="1:2" s="24" customFormat="1" x14ac:dyDescent="0.3">
      <c r="A301" s="17"/>
      <c r="B301" s="17"/>
    </row>
    <row r="302" spans="1:2" s="24" customFormat="1" x14ac:dyDescent="0.3">
      <c r="A302" s="17"/>
      <c r="B302" s="17"/>
    </row>
    <row r="303" spans="1:2" s="24" customFormat="1" x14ac:dyDescent="0.3">
      <c r="A303" s="17"/>
      <c r="B303" s="17"/>
    </row>
    <row r="304" spans="1:2" s="24" customFormat="1" x14ac:dyDescent="0.3">
      <c r="A304" s="17"/>
      <c r="B304" s="17"/>
    </row>
    <row r="305" spans="1:2" s="24" customFormat="1" x14ac:dyDescent="0.3">
      <c r="A305" s="17"/>
      <c r="B305" s="17"/>
    </row>
    <row r="306" spans="1:2" s="24" customFormat="1" x14ac:dyDescent="0.3">
      <c r="A306" s="17"/>
      <c r="B306" s="17"/>
    </row>
    <row r="307" spans="1:2" s="24" customFormat="1" x14ac:dyDescent="0.3">
      <c r="A307" s="17"/>
      <c r="B307" s="17"/>
    </row>
    <row r="308" spans="1:2" s="24" customFormat="1" x14ac:dyDescent="0.3">
      <c r="A308" s="17"/>
      <c r="B308" s="17"/>
    </row>
    <row r="309" spans="1:2" s="24" customFormat="1" x14ac:dyDescent="0.3">
      <c r="A309" s="17"/>
      <c r="B309" s="17"/>
    </row>
    <row r="310" spans="1:2" s="24" customFormat="1" x14ac:dyDescent="0.3">
      <c r="A310" s="17"/>
      <c r="B310" s="17"/>
    </row>
    <row r="311" spans="1:2" s="24" customFormat="1" x14ac:dyDescent="0.3">
      <c r="A311" s="17"/>
      <c r="B311" s="17"/>
    </row>
    <row r="312" spans="1:2" s="24" customFormat="1" x14ac:dyDescent="0.3">
      <c r="A312" s="17"/>
      <c r="B312" s="17"/>
    </row>
    <row r="313" spans="1:2" s="24" customFormat="1" x14ac:dyDescent="0.3">
      <c r="A313" s="17"/>
      <c r="B313" s="17"/>
    </row>
    <row r="314" spans="1:2" s="24" customFormat="1" x14ac:dyDescent="0.3">
      <c r="A314" s="17"/>
      <c r="B314" s="17"/>
    </row>
    <row r="315" spans="1:2" s="24" customFormat="1" x14ac:dyDescent="0.3">
      <c r="A315" s="17"/>
      <c r="B315" s="17"/>
    </row>
    <row r="316" spans="1:2" s="24" customFormat="1" x14ac:dyDescent="0.3">
      <c r="A316" s="17"/>
      <c r="B316" s="17"/>
    </row>
    <row r="317" spans="1:2" s="24" customFormat="1" x14ac:dyDescent="0.3">
      <c r="A317" s="17"/>
      <c r="B317" s="17"/>
    </row>
    <row r="318" spans="1:2" s="24" customFormat="1" x14ac:dyDescent="0.3">
      <c r="A318" s="17"/>
      <c r="B318" s="17"/>
    </row>
    <row r="319" spans="1:2" s="24" customFormat="1" x14ac:dyDescent="0.3">
      <c r="A319" s="17"/>
      <c r="B319" s="17"/>
    </row>
    <row r="320" spans="1:2" s="24" customFormat="1" x14ac:dyDescent="0.3">
      <c r="A320" s="17"/>
      <c r="B320" s="17"/>
    </row>
    <row r="321" spans="1:2" s="24" customFormat="1" x14ac:dyDescent="0.3">
      <c r="A321" s="17"/>
      <c r="B321" s="17"/>
    </row>
    <row r="322" spans="1:2" s="24" customFormat="1" x14ac:dyDescent="0.3">
      <c r="A322" s="17"/>
      <c r="B322" s="17"/>
    </row>
    <row r="323" spans="1:2" s="24" customFormat="1" x14ac:dyDescent="0.3">
      <c r="A323" s="17"/>
      <c r="B323" s="17"/>
    </row>
    <row r="324" spans="1:2" s="24" customFormat="1" x14ac:dyDescent="0.3">
      <c r="A324" s="17"/>
      <c r="B324" s="17"/>
    </row>
    <row r="325" spans="1:2" s="24" customFormat="1" x14ac:dyDescent="0.3">
      <c r="A325" s="17"/>
      <c r="B325" s="17"/>
    </row>
    <row r="326" spans="1:2" s="24" customFormat="1" x14ac:dyDescent="0.3">
      <c r="A326" s="17"/>
      <c r="B326" s="17"/>
    </row>
    <row r="327" spans="1:2" s="24" customFormat="1" x14ac:dyDescent="0.3">
      <c r="A327" s="17"/>
      <c r="B327" s="17"/>
    </row>
    <row r="328" spans="1:2" s="24" customFormat="1" x14ac:dyDescent="0.3">
      <c r="A328" s="17"/>
      <c r="B328" s="17"/>
    </row>
    <row r="329" spans="1:2" s="24" customFormat="1" x14ac:dyDescent="0.3">
      <c r="A329" s="17"/>
      <c r="B329" s="17"/>
    </row>
    <row r="330" spans="1:2" s="24" customFormat="1" x14ac:dyDescent="0.3">
      <c r="A330" s="17"/>
      <c r="B330" s="17"/>
    </row>
    <row r="331" spans="1:2" s="24" customFormat="1" x14ac:dyDescent="0.3">
      <c r="A331" s="17"/>
      <c r="B331" s="17"/>
    </row>
    <row r="332" spans="1:2" s="24" customFormat="1" x14ac:dyDescent="0.3">
      <c r="A332" s="17"/>
      <c r="B332" s="17"/>
    </row>
    <row r="333" spans="1:2" s="24" customFormat="1" x14ac:dyDescent="0.3">
      <c r="A333" s="17"/>
      <c r="B333" s="17"/>
    </row>
    <row r="334" spans="1:2" s="24" customFormat="1" x14ac:dyDescent="0.3">
      <c r="A334" s="17"/>
      <c r="B334" s="17"/>
    </row>
    <row r="335" spans="1:2" s="24" customFormat="1" x14ac:dyDescent="0.3">
      <c r="A335" s="17"/>
      <c r="B335" s="17"/>
    </row>
    <row r="336" spans="1:2" s="24" customFormat="1" x14ac:dyDescent="0.3">
      <c r="A336" s="17"/>
      <c r="B336" s="17"/>
    </row>
    <row r="337" spans="1:2" s="24" customFormat="1" x14ac:dyDescent="0.3">
      <c r="A337" s="17"/>
      <c r="B337" s="17"/>
    </row>
    <row r="338" spans="1:2" s="24" customFormat="1" x14ac:dyDescent="0.3">
      <c r="A338" s="17"/>
      <c r="B338" s="17"/>
    </row>
    <row r="339" spans="1:2" s="24" customFormat="1" x14ac:dyDescent="0.3">
      <c r="A339" s="17"/>
      <c r="B339" s="17"/>
    </row>
    <row r="340" spans="1:2" s="24" customFormat="1" x14ac:dyDescent="0.3">
      <c r="A340" s="17"/>
      <c r="B340" s="17"/>
    </row>
    <row r="341" spans="1:2" s="24" customFormat="1" x14ac:dyDescent="0.3">
      <c r="A341" s="17"/>
      <c r="B341" s="17"/>
    </row>
    <row r="342" spans="1:2" s="24" customFormat="1" x14ac:dyDescent="0.3">
      <c r="A342" s="17"/>
      <c r="B342" s="17"/>
    </row>
    <row r="343" spans="1:2" s="24" customFormat="1" x14ac:dyDescent="0.3">
      <c r="A343" s="17"/>
      <c r="B343" s="17"/>
    </row>
    <row r="344" spans="1:2" s="24" customFormat="1" x14ac:dyDescent="0.3">
      <c r="A344" s="17"/>
      <c r="B344" s="17"/>
    </row>
    <row r="345" spans="1:2" s="24" customFormat="1" x14ac:dyDescent="0.3">
      <c r="A345" s="17"/>
      <c r="B345" s="17"/>
    </row>
    <row r="346" spans="1:2" s="24" customFormat="1" x14ac:dyDescent="0.3">
      <c r="A346" s="17"/>
      <c r="B346" s="17"/>
    </row>
    <row r="347" spans="1:2" s="24" customFormat="1" x14ac:dyDescent="0.3">
      <c r="A347" s="17"/>
      <c r="B347" s="17"/>
    </row>
    <row r="348" spans="1:2" s="24" customFormat="1" x14ac:dyDescent="0.3">
      <c r="A348" s="17"/>
      <c r="B348" s="17"/>
    </row>
    <row r="349" spans="1:2" s="24" customFormat="1" x14ac:dyDescent="0.3">
      <c r="A349" s="17"/>
      <c r="B349" s="17"/>
    </row>
    <row r="350" spans="1:2" s="24" customFormat="1" x14ac:dyDescent="0.3">
      <c r="A350" s="17"/>
      <c r="B350" s="17"/>
    </row>
    <row r="351" spans="1:2" s="24" customFormat="1" x14ac:dyDescent="0.3">
      <c r="A351" s="17"/>
      <c r="B351" s="17"/>
    </row>
    <row r="352" spans="1:2" s="24" customFormat="1" x14ac:dyDescent="0.3">
      <c r="A352" s="17"/>
      <c r="B352" s="17"/>
    </row>
    <row r="353" spans="1:2" s="24" customFormat="1" x14ac:dyDescent="0.3">
      <c r="A353" s="17"/>
      <c r="B353" s="17"/>
    </row>
    <row r="354" spans="1:2" s="24" customFormat="1" x14ac:dyDescent="0.3">
      <c r="A354" s="17"/>
      <c r="B354" s="17"/>
    </row>
    <row r="355" spans="1:2" s="24" customFormat="1" x14ac:dyDescent="0.3">
      <c r="A355" s="17"/>
      <c r="B355" s="17"/>
    </row>
    <row r="356" spans="1:2" s="24" customFormat="1" x14ac:dyDescent="0.3">
      <c r="A356" s="17"/>
      <c r="B356" s="17"/>
    </row>
    <row r="357" spans="1:2" s="24" customFormat="1" x14ac:dyDescent="0.3">
      <c r="A357" s="17"/>
      <c r="B357" s="17"/>
    </row>
    <row r="358" spans="1:2" s="24" customFormat="1" x14ac:dyDescent="0.3">
      <c r="A358" s="17"/>
      <c r="B358" s="17"/>
    </row>
    <row r="359" spans="1:2" s="24" customFormat="1" x14ac:dyDescent="0.3">
      <c r="A359" s="17"/>
      <c r="B359" s="17"/>
    </row>
    <row r="360" spans="1:2" s="24" customFormat="1" x14ac:dyDescent="0.3">
      <c r="A360" s="17"/>
      <c r="B360" s="17"/>
    </row>
    <row r="361" spans="1:2" s="24" customFormat="1" x14ac:dyDescent="0.3">
      <c r="A361" s="17"/>
      <c r="B361" s="17"/>
    </row>
    <row r="362" spans="1:2" s="24" customFormat="1" x14ac:dyDescent="0.3">
      <c r="A362" s="17"/>
      <c r="B362" s="17"/>
    </row>
    <row r="363" spans="1:2" s="24" customFormat="1" x14ac:dyDescent="0.3">
      <c r="A363" s="17"/>
      <c r="B363" s="17"/>
    </row>
    <row r="364" spans="1:2" s="24" customFormat="1" x14ac:dyDescent="0.3">
      <c r="A364" s="17"/>
      <c r="B364" s="17"/>
    </row>
    <row r="365" spans="1:2" s="24" customFormat="1" x14ac:dyDescent="0.3">
      <c r="A365" s="17"/>
      <c r="B365" s="17"/>
    </row>
    <row r="366" spans="1:2" s="24" customFormat="1" x14ac:dyDescent="0.3">
      <c r="A366" s="17"/>
      <c r="B366" s="17"/>
    </row>
    <row r="367" spans="1:2" s="24" customFormat="1" x14ac:dyDescent="0.3">
      <c r="A367" s="17"/>
      <c r="B367" s="17"/>
    </row>
    <row r="368" spans="1:2" s="24" customFormat="1" x14ac:dyDescent="0.3">
      <c r="A368" s="17"/>
      <c r="B368" s="17"/>
    </row>
    <row r="369" spans="1:2" s="24" customFormat="1" x14ac:dyDescent="0.3">
      <c r="A369" s="17"/>
      <c r="B369" s="17"/>
    </row>
    <row r="370" spans="1:2" s="24" customFormat="1" x14ac:dyDescent="0.3">
      <c r="A370" s="17"/>
      <c r="B370" s="17"/>
    </row>
    <row r="371" spans="1:2" s="24" customFormat="1" x14ac:dyDescent="0.3">
      <c r="A371" s="17"/>
      <c r="B371" s="17"/>
    </row>
    <row r="372" spans="1:2" s="24" customFormat="1" x14ac:dyDescent="0.3">
      <c r="A372" s="17"/>
      <c r="B372" s="17"/>
    </row>
    <row r="373" spans="1:2" s="24" customFormat="1" x14ac:dyDescent="0.3">
      <c r="A373" s="17"/>
      <c r="B373" s="17"/>
    </row>
    <row r="374" spans="1:2" s="24" customFormat="1" x14ac:dyDescent="0.3">
      <c r="A374" s="17"/>
      <c r="B374" s="17"/>
    </row>
    <row r="375" spans="1:2" s="24" customFormat="1" x14ac:dyDescent="0.3">
      <c r="A375" s="17"/>
      <c r="B375" s="17"/>
    </row>
    <row r="376" spans="1:2" s="24" customFormat="1" x14ac:dyDescent="0.3">
      <c r="A376" s="17"/>
      <c r="B376" s="17"/>
    </row>
    <row r="377" spans="1:2" s="24" customFormat="1" x14ac:dyDescent="0.3">
      <c r="A377" s="17"/>
      <c r="B377" s="17"/>
    </row>
    <row r="378" spans="1:2" s="24" customFormat="1" x14ac:dyDescent="0.3">
      <c r="A378" s="17"/>
      <c r="B378" s="17"/>
    </row>
    <row r="379" spans="1:2" s="24" customFormat="1" x14ac:dyDescent="0.3">
      <c r="A379" s="17"/>
      <c r="B379" s="17"/>
    </row>
    <row r="380" spans="1:2" s="24" customFormat="1" x14ac:dyDescent="0.3">
      <c r="A380" s="17"/>
      <c r="B380" s="17"/>
    </row>
    <row r="381" spans="1:2" s="24" customFormat="1" x14ac:dyDescent="0.3">
      <c r="A381" s="17"/>
      <c r="B381" s="17"/>
    </row>
    <row r="382" spans="1:2" s="24" customFormat="1" x14ac:dyDescent="0.3">
      <c r="A382" s="17"/>
      <c r="B382" s="17"/>
    </row>
    <row r="383" spans="1:2" s="24" customFormat="1" x14ac:dyDescent="0.3">
      <c r="A383" s="17"/>
      <c r="B383" s="17"/>
    </row>
    <row r="384" spans="1:2" s="24" customFormat="1" x14ac:dyDescent="0.3">
      <c r="A384" s="17"/>
      <c r="B384" s="17"/>
    </row>
    <row r="385" spans="1:2" s="24" customFormat="1" x14ac:dyDescent="0.3">
      <c r="A385" s="17"/>
      <c r="B385" s="17"/>
    </row>
    <row r="386" spans="1:2" s="24" customFormat="1" x14ac:dyDescent="0.3">
      <c r="A386" s="17"/>
      <c r="B386" s="17"/>
    </row>
    <row r="387" spans="1:2" s="24" customFormat="1" x14ac:dyDescent="0.3">
      <c r="A387" s="17"/>
      <c r="B387" s="17"/>
    </row>
    <row r="388" spans="1:2" s="24" customFormat="1" x14ac:dyDescent="0.3">
      <c r="A388" s="17"/>
      <c r="B388" s="17"/>
    </row>
    <row r="389" spans="1:2" s="24" customFormat="1" x14ac:dyDescent="0.3">
      <c r="A389" s="17"/>
      <c r="B389" s="17"/>
    </row>
    <row r="390" spans="1:2" s="24" customFormat="1" x14ac:dyDescent="0.3">
      <c r="A390" s="17"/>
      <c r="B390" s="17"/>
    </row>
    <row r="391" spans="1:2" s="24" customFormat="1" x14ac:dyDescent="0.3">
      <c r="A391" s="17"/>
      <c r="B391" s="17"/>
    </row>
    <row r="392" spans="1:2" s="24" customFormat="1" x14ac:dyDescent="0.3">
      <c r="A392" s="17"/>
      <c r="B392" s="17"/>
    </row>
    <row r="393" spans="1:2" s="24" customFormat="1" x14ac:dyDescent="0.3">
      <c r="A393" s="17"/>
      <c r="B393" s="17"/>
    </row>
    <row r="394" spans="1:2" s="24" customFormat="1" x14ac:dyDescent="0.3">
      <c r="A394" s="17"/>
      <c r="B394" s="17"/>
    </row>
    <row r="395" spans="1:2" s="24" customFormat="1" x14ac:dyDescent="0.3">
      <c r="A395" s="17"/>
      <c r="B395" s="17"/>
    </row>
    <row r="396" spans="1:2" s="24" customFormat="1" x14ac:dyDescent="0.3">
      <c r="A396" s="17"/>
      <c r="B396" s="17"/>
    </row>
    <row r="397" spans="1:2" s="24" customFormat="1" x14ac:dyDescent="0.3">
      <c r="A397" s="17"/>
      <c r="B397" s="17"/>
    </row>
    <row r="398" spans="1:2" s="24" customFormat="1" x14ac:dyDescent="0.3">
      <c r="A398" s="17"/>
      <c r="B398" s="17"/>
    </row>
    <row r="399" spans="1:2" s="24" customFormat="1" x14ac:dyDescent="0.3">
      <c r="A399" s="17"/>
      <c r="B399" s="17"/>
    </row>
    <row r="400" spans="1:2" s="24" customFormat="1" x14ac:dyDescent="0.3">
      <c r="A400" s="17"/>
      <c r="B400" s="17"/>
    </row>
    <row r="401" spans="1:2" s="24" customFormat="1" x14ac:dyDescent="0.3">
      <c r="A401" s="17"/>
      <c r="B401" s="17"/>
    </row>
    <row r="402" spans="1:2" s="24" customFormat="1" x14ac:dyDescent="0.3">
      <c r="A402" s="17"/>
      <c r="B402" s="17"/>
    </row>
    <row r="403" spans="1:2" s="24" customFormat="1" x14ac:dyDescent="0.3">
      <c r="A403" s="17"/>
      <c r="B403" s="17"/>
    </row>
    <row r="404" spans="1:2" s="24" customFormat="1" x14ac:dyDescent="0.3">
      <c r="A404" s="17"/>
      <c r="B404" s="17"/>
    </row>
    <row r="405" spans="1:2" s="24" customFormat="1" x14ac:dyDescent="0.3">
      <c r="A405" s="17"/>
      <c r="B405" s="17"/>
    </row>
    <row r="406" spans="1:2" s="24" customFormat="1" x14ac:dyDescent="0.3">
      <c r="A406" s="17"/>
      <c r="B406" s="17"/>
    </row>
    <row r="407" spans="1:2" s="24" customFormat="1" x14ac:dyDescent="0.3">
      <c r="A407" s="17"/>
      <c r="B407" s="17"/>
    </row>
    <row r="408" spans="1:2" s="24" customFormat="1" x14ac:dyDescent="0.3">
      <c r="A408" s="17"/>
      <c r="B408" s="17"/>
    </row>
    <row r="409" spans="1:2" s="24" customFormat="1" x14ac:dyDescent="0.3">
      <c r="A409" s="17"/>
      <c r="B409" s="17"/>
    </row>
    <row r="410" spans="1:2" s="24" customFormat="1" x14ac:dyDescent="0.3">
      <c r="A410" s="17"/>
      <c r="B410" s="17"/>
    </row>
    <row r="411" spans="1:2" s="24" customFormat="1" x14ac:dyDescent="0.3">
      <c r="A411" s="17"/>
      <c r="B411" s="17"/>
    </row>
    <row r="412" spans="1:2" s="24" customFormat="1" x14ac:dyDescent="0.3">
      <c r="A412" s="17"/>
      <c r="B412" s="17"/>
    </row>
    <row r="413" spans="1:2" s="24" customFormat="1" x14ac:dyDescent="0.3">
      <c r="A413" s="17"/>
      <c r="B413" s="17"/>
    </row>
    <row r="414" spans="1:2" s="24" customFormat="1" x14ac:dyDescent="0.3">
      <c r="A414" s="17"/>
      <c r="B414" s="17"/>
    </row>
    <row r="415" spans="1:2" s="24" customFormat="1" x14ac:dyDescent="0.3">
      <c r="A415" s="17"/>
      <c r="B415" s="17"/>
    </row>
    <row r="416" spans="1:2" s="24" customFormat="1" x14ac:dyDescent="0.3">
      <c r="A416" s="17"/>
      <c r="B416" s="17"/>
    </row>
    <row r="417" spans="1:2" s="24" customFormat="1" x14ac:dyDescent="0.3">
      <c r="A417" s="17"/>
      <c r="B417" s="17"/>
    </row>
    <row r="418" spans="1:2" s="24" customFormat="1" x14ac:dyDescent="0.3">
      <c r="A418" s="17"/>
      <c r="B418" s="17"/>
    </row>
    <row r="419" spans="1:2" s="24" customFormat="1" x14ac:dyDescent="0.3">
      <c r="A419" s="17"/>
      <c r="B419" s="17"/>
    </row>
    <row r="420" spans="1:2" s="24" customFormat="1" x14ac:dyDescent="0.3">
      <c r="A420" s="17"/>
      <c r="B420" s="17"/>
    </row>
    <row r="421" spans="1:2" s="24" customFormat="1" x14ac:dyDescent="0.3">
      <c r="A421" s="17"/>
      <c r="B421" s="17"/>
    </row>
    <row r="422" spans="1:2" s="24" customFormat="1" x14ac:dyDescent="0.3">
      <c r="A422" s="17"/>
      <c r="B422" s="17"/>
    </row>
    <row r="423" spans="1:2" s="24" customFormat="1" x14ac:dyDescent="0.3">
      <c r="A423" s="17"/>
      <c r="B423" s="17"/>
    </row>
    <row r="424" spans="1:2" s="24" customFormat="1" x14ac:dyDescent="0.3">
      <c r="A424" s="17"/>
      <c r="B424" s="17"/>
    </row>
    <row r="425" spans="1:2" s="24" customFormat="1" x14ac:dyDescent="0.3">
      <c r="A425" s="17"/>
      <c r="B425" s="17"/>
    </row>
    <row r="426" spans="1:2" s="24" customFormat="1" x14ac:dyDescent="0.3">
      <c r="A426" s="17"/>
      <c r="B426" s="17"/>
    </row>
    <row r="427" spans="1:2" s="24" customFormat="1" x14ac:dyDescent="0.3">
      <c r="A427" s="17"/>
      <c r="B427" s="17"/>
    </row>
    <row r="428" spans="1:2" s="24" customFormat="1" x14ac:dyDescent="0.3">
      <c r="A428" s="17"/>
      <c r="B428" s="17"/>
    </row>
    <row r="429" spans="1:2" s="24" customFormat="1" x14ac:dyDescent="0.3">
      <c r="A429" s="17"/>
      <c r="B429" s="17"/>
    </row>
    <row r="430" spans="1:2" s="24" customFormat="1" x14ac:dyDescent="0.3">
      <c r="A430" s="17"/>
      <c r="B430" s="17"/>
    </row>
    <row r="431" spans="1:2" s="24" customFormat="1" x14ac:dyDescent="0.3">
      <c r="A431" s="17"/>
      <c r="B431" s="17"/>
    </row>
    <row r="432" spans="1:2" s="24" customFormat="1" x14ac:dyDescent="0.3">
      <c r="A432" s="17"/>
      <c r="B432" s="17"/>
    </row>
    <row r="433" spans="1:2" s="24" customFormat="1" x14ac:dyDescent="0.3">
      <c r="A433" s="17"/>
      <c r="B433" s="17"/>
    </row>
    <row r="434" spans="1:2" s="24" customFormat="1" x14ac:dyDescent="0.3">
      <c r="A434" s="17"/>
      <c r="B434" s="17"/>
    </row>
    <row r="435" spans="1:2" s="24" customFormat="1" x14ac:dyDescent="0.3">
      <c r="A435" s="17"/>
      <c r="B435" s="17"/>
    </row>
    <row r="436" spans="1:2" s="24" customFormat="1" x14ac:dyDescent="0.3">
      <c r="A436" s="17"/>
      <c r="B436" s="17"/>
    </row>
    <row r="437" spans="1:2" s="24" customFormat="1" x14ac:dyDescent="0.3">
      <c r="A437" s="17"/>
      <c r="B437" s="17"/>
    </row>
    <row r="438" spans="1:2" s="24" customFormat="1" x14ac:dyDescent="0.3">
      <c r="A438" s="17"/>
      <c r="B438" s="17"/>
    </row>
    <row r="439" spans="1:2" s="24" customFormat="1" x14ac:dyDescent="0.3">
      <c r="A439" s="17"/>
      <c r="B439" s="17"/>
    </row>
    <row r="440" spans="1:2" s="24" customFormat="1" x14ac:dyDescent="0.3">
      <c r="A440" s="17"/>
      <c r="B440" s="17"/>
    </row>
    <row r="441" spans="1:2" s="24" customFormat="1" x14ac:dyDescent="0.3">
      <c r="A441" s="17"/>
      <c r="B441" s="17"/>
    </row>
    <row r="442" spans="1:2" s="24" customFormat="1" x14ac:dyDescent="0.3">
      <c r="A442" s="17"/>
      <c r="B442" s="17"/>
    </row>
    <row r="443" spans="1:2" s="24" customFormat="1" x14ac:dyDescent="0.3">
      <c r="A443" s="17"/>
      <c r="B443" s="17"/>
    </row>
    <row r="444" spans="1:2" s="24" customFormat="1" x14ac:dyDescent="0.3">
      <c r="A444" s="17"/>
      <c r="B444" s="17"/>
    </row>
    <row r="445" spans="1:2" s="24" customFormat="1" x14ac:dyDescent="0.3">
      <c r="A445" s="17"/>
      <c r="B445" s="17"/>
    </row>
    <row r="446" spans="1:2" s="24" customFormat="1" x14ac:dyDescent="0.3">
      <c r="A446" s="17"/>
      <c r="B446" s="17"/>
    </row>
    <row r="447" spans="1:2" s="24" customFormat="1" x14ac:dyDescent="0.3">
      <c r="A447" s="17"/>
      <c r="B447" s="17"/>
    </row>
    <row r="448" spans="1:2" s="24" customFormat="1" x14ac:dyDescent="0.3">
      <c r="A448" s="17"/>
      <c r="B448" s="17"/>
    </row>
    <row r="449" spans="1:2" s="24" customFormat="1" x14ac:dyDescent="0.3">
      <c r="A449" s="17"/>
      <c r="B449" s="17"/>
    </row>
    <row r="450" spans="1:2" s="24" customFormat="1" x14ac:dyDescent="0.3">
      <c r="A450" s="17"/>
      <c r="B450" s="17"/>
    </row>
    <row r="451" spans="1:2" s="24" customFormat="1" x14ac:dyDescent="0.3">
      <c r="A451" s="17"/>
      <c r="B451" s="17"/>
    </row>
    <row r="452" spans="1:2" s="24" customFormat="1" x14ac:dyDescent="0.3">
      <c r="A452" s="17"/>
      <c r="B452" s="17"/>
    </row>
    <row r="453" spans="1:2" s="24" customFormat="1" x14ac:dyDescent="0.3">
      <c r="A453" s="17"/>
      <c r="B453" s="17"/>
    </row>
    <row r="454" spans="1:2" s="24" customFormat="1" x14ac:dyDescent="0.3">
      <c r="A454" s="17"/>
      <c r="B454" s="17"/>
    </row>
    <row r="455" spans="1:2" s="24" customFormat="1" x14ac:dyDescent="0.3">
      <c r="A455" s="17"/>
      <c r="B455" s="17"/>
    </row>
    <row r="456" spans="1:2" s="24" customFormat="1" x14ac:dyDescent="0.3">
      <c r="A456" s="17"/>
      <c r="B456" s="17"/>
    </row>
    <row r="457" spans="1:2" s="24" customFormat="1" x14ac:dyDescent="0.3">
      <c r="A457" s="17"/>
      <c r="B457" s="17"/>
    </row>
    <row r="458" spans="1:2" s="24" customFormat="1" x14ac:dyDescent="0.3">
      <c r="A458" s="17"/>
      <c r="B458" s="17"/>
    </row>
    <row r="459" spans="1:2" s="24" customFormat="1" x14ac:dyDescent="0.3">
      <c r="A459" s="17"/>
      <c r="B459" s="17"/>
    </row>
    <row r="460" spans="1:2" s="24" customFormat="1" x14ac:dyDescent="0.3">
      <c r="A460" s="17"/>
      <c r="B460" s="17"/>
    </row>
    <row r="461" spans="1:2" s="24" customFormat="1" x14ac:dyDescent="0.3">
      <c r="A461" s="17"/>
      <c r="B461" s="17"/>
    </row>
    <row r="462" spans="1:2" s="24" customFormat="1" x14ac:dyDescent="0.3">
      <c r="A462" s="17"/>
      <c r="B462" s="17"/>
    </row>
    <row r="463" spans="1:2" s="24" customFormat="1" x14ac:dyDescent="0.3">
      <c r="A463" s="17"/>
      <c r="B463" s="17"/>
    </row>
    <row r="464" spans="1:2" s="24" customFormat="1" x14ac:dyDescent="0.3">
      <c r="A464" s="17"/>
      <c r="B464" s="17"/>
    </row>
    <row r="465" spans="1:2" s="24" customFormat="1" x14ac:dyDescent="0.3">
      <c r="A465" s="17"/>
      <c r="B465" s="17"/>
    </row>
    <row r="466" spans="1:2" s="24" customFormat="1" x14ac:dyDescent="0.3">
      <c r="A466" s="17"/>
      <c r="B466" s="17"/>
    </row>
    <row r="467" spans="1:2" s="24" customFormat="1" x14ac:dyDescent="0.3">
      <c r="A467" s="17"/>
      <c r="B467" s="17"/>
    </row>
    <row r="468" spans="1:2" s="24" customFormat="1" x14ac:dyDescent="0.3">
      <c r="A468" s="17"/>
      <c r="B468" s="17"/>
    </row>
    <row r="469" spans="1:2" s="24" customFormat="1" x14ac:dyDescent="0.3">
      <c r="A469" s="17"/>
      <c r="B469" s="17"/>
    </row>
    <row r="470" spans="1:2" s="24" customFormat="1" x14ac:dyDescent="0.3">
      <c r="A470" s="17"/>
      <c r="B470" s="17"/>
    </row>
    <row r="471" spans="1:2" s="24" customFormat="1" x14ac:dyDescent="0.3">
      <c r="A471" s="17"/>
      <c r="B471" s="17"/>
    </row>
    <row r="472" spans="1:2" s="24" customFormat="1" x14ac:dyDescent="0.3">
      <c r="A472" s="17"/>
      <c r="B472" s="17"/>
    </row>
    <row r="473" spans="1:2" s="24" customFormat="1" x14ac:dyDescent="0.3">
      <c r="A473" s="17"/>
      <c r="B473" s="17"/>
    </row>
    <row r="474" spans="1:2" s="24" customFormat="1" x14ac:dyDescent="0.3">
      <c r="A474" s="17"/>
      <c r="B474" s="17"/>
    </row>
    <row r="475" spans="1:2" s="24" customFormat="1" x14ac:dyDescent="0.3">
      <c r="A475" s="17"/>
      <c r="B475" s="17"/>
    </row>
    <row r="476" spans="1:2" s="24" customFormat="1" x14ac:dyDescent="0.3">
      <c r="A476" s="17"/>
      <c r="B476" s="17"/>
    </row>
    <row r="477" spans="1:2" s="24" customFormat="1" x14ac:dyDescent="0.3">
      <c r="A477" s="17"/>
      <c r="B477" s="17"/>
    </row>
    <row r="478" spans="1:2" s="24" customFormat="1" x14ac:dyDescent="0.3">
      <c r="A478" s="17"/>
      <c r="B478" s="17"/>
    </row>
    <row r="479" spans="1:2" s="24" customFormat="1" x14ac:dyDescent="0.3">
      <c r="A479" s="17"/>
      <c r="B479" s="17"/>
    </row>
    <row r="480" spans="1:2" s="24" customFormat="1" x14ac:dyDescent="0.3">
      <c r="A480" s="17"/>
      <c r="B480" s="17"/>
    </row>
    <row r="481" spans="1:2" s="24" customFormat="1" x14ac:dyDescent="0.3">
      <c r="A481" s="17"/>
      <c r="B481" s="17"/>
    </row>
    <row r="482" spans="1:2" s="24" customFormat="1" x14ac:dyDescent="0.3">
      <c r="A482" s="17"/>
      <c r="B482" s="17"/>
    </row>
    <row r="483" spans="1:2" s="24" customFormat="1" x14ac:dyDescent="0.3">
      <c r="A483" s="17"/>
      <c r="B483" s="17"/>
    </row>
    <row r="484" spans="1:2" s="24" customFormat="1" x14ac:dyDescent="0.3">
      <c r="A484" s="17"/>
      <c r="B484" s="17"/>
    </row>
    <row r="485" spans="1:2" s="24" customFormat="1" x14ac:dyDescent="0.3">
      <c r="A485" s="17"/>
      <c r="B485" s="17"/>
    </row>
    <row r="486" spans="1:2" s="24" customFormat="1" x14ac:dyDescent="0.3">
      <c r="A486" s="17"/>
      <c r="B486" s="17"/>
    </row>
    <row r="487" spans="1:2" s="24" customFormat="1" x14ac:dyDescent="0.3">
      <c r="A487" s="17"/>
      <c r="B487" s="17"/>
    </row>
    <row r="488" spans="1:2" s="24" customFormat="1" x14ac:dyDescent="0.3">
      <c r="A488" s="17"/>
      <c r="B488" s="17"/>
    </row>
    <row r="489" spans="1:2" s="24" customFormat="1" x14ac:dyDescent="0.3">
      <c r="A489" s="17"/>
      <c r="B489" s="17"/>
    </row>
    <row r="490" spans="1:2" s="24" customFormat="1" x14ac:dyDescent="0.3">
      <c r="A490" s="17"/>
      <c r="B490" s="17"/>
    </row>
    <row r="491" spans="1:2" s="24" customFormat="1" x14ac:dyDescent="0.3">
      <c r="A491" s="17"/>
      <c r="B491" s="17"/>
    </row>
    <row r="492" spans="1:2" s="24" customFormat="1" x14ac:dyDescent="0.3">
      <c r="A492" s="17"/>
      <c r="B492" s="17"/>
    </row>
    <row r="493" spans="1:2" s="24" customFormat="1" x14ac:dyDescent="0.3">
      <c r="A493" s="17"/>
      <c r="B493" s="17"/>
    </row>
    <row r="494" spans="1:2" s="24" customFormat="1" x14ac:dyDescent="0.3">
      <c r="A494" s="17"/>
      <c r="B494" s="17"/>
    </row>
    <row r="495" spans="1:2" s="24" customFormat="1" x14ac:dyDescent="0.3">
      <c r="A495" s="17"/>
      <c r="B495" s="17"/>
    </row>
    <row r="496" spans="1:2" s="24" customFormat="1" x14ac:dyDescent="0.3">
      <c r="A496" s="17"/>
      <c r="B496" s="17"/>
    </row>
    <row r="497" spans="1:2" s="24" customFormat="1" x14ac:dyDescent="0.3">
      <c r="A497" s="17"/>
      <c r="B497" s="17"/>
    </row>
    <row r="498" spans="1:2" s="24" customFormat="1" x14ac:dyDescent="0.3">
      <c r="A498" s="17"/>
      <c r="B498" s="17"/>
    </row>
    <row r="499" spans="1:2" s="24" customFormat="1" x14ac:dyDescent="0.3">
      <c r="A499" s="17"/>
      <c r="B499" s="17"/>
    </row>
    <row r="500" spans="1:2" s="24" customFormat="1" x14ac:dyDescent="0.3">
      <c r="A500" s="17"/>
      <c r="B500" s="17"/>
    </row>
    <row r="501" spans="1:2" s="24" customFormat="1" x14ac:dyDescent="0.3">
      <c r="A501" s="17"/>
      <c r="B501" s="17"/>
    </row>
    <row r="502" spans="1:2" s="24" customFormat="1" x14ac:dyDescent="0.3">
      <c r="A502" s="17"/>
      <c r="B502" s="17"/>
    </row>
    <row r="503" spans="1:2" s="24" customFormat="1" x14ac:dyDescent="0.3">
      <c r="A503" s="17"/>
      <c r="B503" s="17"/>
    </row>
    <row r="504" spans="1:2" s="24" customFormat="1" x14ac:dyDescent="0.3">
      <c r="A504" s="17"/>
      <c r="B504" s="17"/>
    </row>
    <row r="505" spans="1:2" s="24" customFormat="1" x14ac:dyDescent="0.3">
      <c r="A505" s="17"/>
      <c r="B505" s="17"/>
    </row>
    <row r="506" spans="1:2" s="24" customFormat="1" x14ac:dyDescent="0.3">
      <c r="A506" s="17"/>
      <c r="B506" s="17"/>
    </row>
    <row r="507" spans="1:2" s="24" customFormat="1" x14ac:dyDescent="0.3">
      <c r="A507" s="17"/>
      <c r="B507" s="17"/>
    </row>
    <row r="508" spans="1:2" s="24" customFormat="1" x14ac:dyDescent="0.3">
      <c r="A508" s="17"/>
      <c r="B508" s="17"/>
    </row>
    <row r="509" spans="1:2" s="24" customFormat="1" x14ac:dyDescent="0.3">
      <c r="A509" s="17"/>
      <c r="B509" s="17"/>
    </row>
    <row r="510" spans="1:2" s="24" customFormat="1" x14ac:dyDescent="0.3">
      <c r="A510" s="17"/>
      <c r="B510" s="17"/>
    </row>
    <row r="511" spans="1:2" s="24" customFormat="1" x14ac:dyDescent="0.3">
      <c r="A511" s="17"/>
      <c r="B511" s="17"/>
    </row>
    <row r="512" spans="1:2" s="24" customFormat="1" x14ac:dyDescent="0.3">
      <c r="A512" s="17"/>
      <c r="B512" s="17"/>
    </row>
    <row r="513" spans="1:2" s="24" customFormat="1" x14ac:dyDescent="0.3">
      <c r="A513" s="17"/>
      <c r="B513" s="17"/>
    </row>
    <row r="514" spans="1:2" s="24" customFormat="1" x14ac:dyDescent="0.3">
      <c r="A514" s="17"/>
      <c r="B514" s="17"/>
    </row>
    <row r="515" spans="1:2" s="24" customFormat="1" x14ac:dyDescent="0.3">
      <c r="A515" s="17"/>
      <c r="B515" s="17"/>
    </row>
    <row r="516" spans="1:2" s="24" customFormat="1" x14ac:dyDescent="0.3">
      <c r="A516" s="17"/>
      <c r="B516" s="17"/>
    </row>
    <row r="517" spans="1:2" s="24" customFormat="1" x14ac:dyDescent="0.3">
      <c r="A517" s="17"/>
      <c r="B517" s="17"/>
    </row>
    <row r="518" spans="1:2" s="24" customFormat="1" x14ac:dyDescent="0.3">
      <c r="A518" s="17"/>
      <c r="B518" s="17"/>
    </row>
    <row r="519" spans="1:2" s="24" customFormat="1" x14ac:dyDescent="0.3">
      <c r="A519" s="17"/>
      <c r="B519" s="17"/>
    </row>
    <row r="520" spans="1:2" s="24" customFormat="1" x14ac:dyDescent="0.3">
      <c r="A520" s="17"/>
      <c r="B520" s="17"/>
    </row>
    <row r="521" spans="1:2" s="24" customFormat="1" x14ac:dyDescent="0.3">
      <c r="A521" s="17"/>
      <c r="B521" s="17"/>
    </row>
    <row r="522" spans="1:2" s="24" customFormat="1" x14ac:dyDescent="0.3">
      <c r="A522" s="17"/>
      <c r="B522" s="17"/>
    </row>
    <row r="523" spans="1:2" s="24" customFormat="1" x14ac:dyDescent="0.3">
      <c r="A523" s="17"/>
      <c r="B523" s="17"/>
    </row>
    <row r="524" spans="1:2" s="24" customFormat="1" x14ac:dyDescent="0.3">
      <c r="A524" s="17"/>
      <c r="B524" s="17"/>
    </row>
    <row r="525" spans="1:2" s="24" customFormat="1" x14ac:dyDescent="0.3">
      <c r="A525" s="17"/>
      <c r="B525" s="17"/>
    </row>
    <row r="526" spans="1:2" s="24" customFormat="1" x14ac:dyDescent="0.3">
      <c r="A526" s="17"/>
      <c r="B526" s="17"/>
    </row>
    <row r="527" spans="1:2" s="24" customFormat="1" x14ac:dyDescent="0.3">
      <c r="A527" s="17"/>
      <c r="B527" s="17"/>
    </row>
    <row r="528" spans="1:2" s="24" customFormat="1" x14ac:dyDescent="0.3">
      <c r="A528" s="17"/>
      <c r="B528" s="17"/>
    </row>
    <row r="529" spans="1:2" s="24" customFormat="1" x14ac:dyDescent="0.3">
      <c r="A529" s="17"/>
      <c r="B529" s="17"/>
    </row>
    <row r="530" spans="1:2" s="24" customFormat="1" x14ac:dyDescent="0.3">
      <c r="A530" s="17"/>
      <c r="B530" s="17"/>
    </row>
    <row r="531" spans="1:2" s="24" customFormat="1" x14ac:dyDescent="0.3">
      <c r="A531" s="17"/>
      <c r="B531" s="17"/>
    </row>
    <row r="532" spans="1:2" s="24" customFormat="1" x14ac:dyDescent="0.3">
      <c r="A532" s="17"/>
      <c r="B532" s="17"/>
    </row>
    <row r="533" spans="1:2" s="24" customFormat="1" x14ac:dyDescent="0.3">
      <c r="A533" s="17"/>
      <c r="B533" s="17"/>
    </row>
    <row r="534" spans="1:2" s="24" customFormat="1" x14ac:dyDescent="0.3">
      <c r="A534" s="17"/>
      <c r="B534" s="17"/>
    </row>
    <row r="535" spans="1:2" s="24" customFormat="1" x14ac:dyDescent="0.3">
      <c r="A535" s="17"/>
      <c r="B535" s="17"/>
    </row>
    <row r="536" spans="1:2" s="24" customFormat="1" x14ac:dyDescent="0.3">
      <c r="A536" s="17"/>
      <c r="B536" s="17"/>
    </row>
    <row r="537" spans="1:2" s="24" customFormat="1" x14ac:dyDescent="0.3">
      <c r="A537" s="17"/>
      <c r="B537" s="17"/>
    </row>
    <row r="538" spans="1:2" s="24" customFormat="1" x14ac:dyDescent="0.3">
      <c r="A538" s="17"/>
      <c r="B538" s="17"/>
    </row>
    <row r="539" spans="1:2" s="24" customFormat="1" x14ac:dyDescent="0.3">
      <c r="A539" s="17"/>
      <c r="B539" s="17"/>
    </row>
    <row r="540" spans="1:2" s="24" customFormat="1" x14ac:dyDescent="0.3">
      <c r="A540" s="17"/>
      <c r="B540" s="17"/>
    </row>
    <row r="541" spans="1:2" s="24" customFormat="1" x14ac:dyDescent="0.3">
      <c r="A541" s="17"/>
      <c r="B541" s="17"/>
    </row>
    <row r="542" spans="1:2" s="24" customFormat="1" x14ac:dyDescent="0.3">
      <c r="A542" s="17"/>
      <c r="B542" s="17"/>
    </row>
    <row r="543" spans="1:2" s="24" customFormat="1" x14ac:dyDescent="0.3">
      <c r="A543" s="17"/>
      <c r="B543" s="17"/>
    </row>
    <row r="544" spans="1:2" s="24" customFormat="1" x14ac:dyDescent="0.3">
      <c r="A544" s="17"/>
      <c r="B544" s="17"/>
    </row>
    <row r="545" spans="1:2" s="24" customFormat="1" x14ac:dyDescent="0.3">
      <c r="A545" s="17"/>
      <c r="B545" s="17"/>
    </row>
    <row r="546" spans="1:2" s="24" customFormat="1" x14ac:dyDescent="0.3">
      <c r="A546" s="17"/>
      <c r="B546" s="17"/>
    </row>
    <row r="547" spans="1:2" s="24" customFormat="1" x14ac:dyDescent="0.3">
      <c r="A547" s="17"/>
      <c r="B547" s="17"/>
    </row>
    <row r="548" spans="1:2" s="24" customFormat="1" x14ac:dyDescent="0.3">
      <c r="A548" s="17"/>
      <c r="B548" s="17"/>
    </row>
    <row r="549" spans="1:2" s="24" customFormat="1" x14ac:dyDescent="0.3">
      <c r="A549" s="17"/>
      <c r="B549" s="17"/>
    </row>
    <row r="550" spans="1:2" s="24" customFormat="1" x14ac:dyDescent="0.3">
      <c r="A550" s="17"/>
      <c r="B550" s="17"/>
    </row>
    <row r="551" spans="1:2" s="24" customFormat="1" x14ac:dyDescent="0.3">
      <c r="A551" s="17"/>
      <c r="B551" s="17"/>
    </row>
    <row r="552" spans="1:2" s="24" customFormat="1" x14ac:dyDescent="0.3">
      <c r="A552" s="17"/>
      <c r="B552" s="17"/>
    </row>
    <row r="553" spans="1:2" s="24" customFormat="1" x14ac:dyDescent="0.3">
      <c r="A553" s="17"/>
      <c r="B553" s="17"/>
    </row>
    <row r="554" spans="1:2" s="24" customFormat="1" x14ac:dyDescent="0.3">
      <c r="A554" s="17"/>
      <c r="B554" s="17"/>
    </row>
    <row r="555" spans="1:2" s="24" customFormat="1" x14ac:dyDescent="0.3">
      <c r="A555" s="17"/>
      <c r="B555" s="17"/>
    </row>
    <row r="556" spans="1:2" s="24" customFormat="1" x14ac:dyDescent="0.3">
      <c r="A556" s="17"/>
      <c r="B556" s="17"/>
    </row>
    <row r="557" spans="1:2" s="24" customFormat="1" x14ac:dyDescent="0.3">
      <c r="A557" s="17"/>
      <c r="B557" s="17"/>
    </row>
    <row r="558" spans="1:2" s="24" customFormat="1" x14ac:dyDescent="0.3">
      <c r="A558" s="17"/>
      <c r="B558" s="17"/>
    </row>
    <row r="559" spans="1:2" s="24" customFormat="1" x14ac:dyDescent="0.3">
      <c r="A559" s="17"/>
      <c r="B559" s="17"/>
    </row>
    <row r="560" spans="1:2" s="24" customFormat="1" x14ac:dyDescent="0.3">
      <c r="A560" s="17"/>
      <c r="B560" s="17"/>
    </row>
    <row r="561" spans="1:2" s="24" customFormat="1" x14ac:dyDescent="0.3">
      <c r="A561" s="17"/>
      <c r="B561" s="17"/>
    </row>
    <row r="562" spans="1:2" s="24" customFormat="1" x14ac:dyDescent="0.3">
      <c r="A562" s="17"/>
      <c r="B562" s="17"/>
    </row>
    <row r="563" spans="1:2" s="24" customFormat="1" x14ac:dyDescent="0.3">
      <c r="A563" s="17"/>
      <c r="B563" s="17"/>
    </row>
    <row r="564" spans="1:2" s="24" customFormat="1" x14ac:dyDescent="0.3">
      <c r="A564" s="17"/>
      <c r="B564" s="17"/>
    </row>
    <row r="565" spans="1:2" s="24" customFormat="1" x14ac:dyDescent="0.3">
      <c r="A565" s="17"/>
      <c r="B565" s="17"/>
    </row>
    <row r="566" spans="1:2" s="24" customFormat="1" x14ac:dyDescent="0.3">
      <c r="A566" s="17"/>
      <c r="B566" s="17"/>
    </row>
    <row r="567" spans="1:2" s="24" customFormat="1" x14ac:dyDescent="0.3">
      <c r="A567" s="17"/>
      <c r="B567" s="17"/>
    </row>
    <row r="568" spans="1:2" s="24" customFormat="1" x14ac:dyDescent="0.3">
      <c r="A568" s="17"/>
      <c r="B568" s="17"/>
    </row>
    <row r="569" spans="1:2" s="24" customFormat="1" x14ac:dyDescent="0.3">
      <c r="A569" s="17"/>
      <c r="B569" s="17"/>
    </row>
    <row r="570" spans="1:2" s="24" customFormat="1" x14ac:dyDescent="0.3">
      <c r="A570" s="17"/>
      <c r="B570" s="17"/>
    </row>
    <row r="571" spans="1:2" s="24" customFormat="1" x14ac:dyDescent="0.3">
      <c r="A571" s="17"/>
      <c r="B571" s="17"/>
    </row>
    <row r="572" spans="1:2" s="24" customFormat="1" x14ac:dyDescent="0.3">
      <c r="A572" s="17"/>
      <c r="B572" s="17"/>
    </row>
    <row r="573" spans="1:2" s="24" customFormat="1" x14ac:dyDescent="0.3">
      <c r="A573" s="17"/>
      <c r="B573" s="17"/>
    </row>
    <row r="574" spans="1:2" s="24" customFormat="1" x14ac:dyDescent="0.3">
      <c r="A574" s="17"/>
      <c r="B574" s="17"/>
    </row>
    <row r="575" spans="1:2" s="24" customFormat="1" x14ac:dyDescent="0.3">
      <c r="A575" s="17"/>
      <c r="B575" s="17"/>
    </row>
    <row r="576" spans="1:2" s="24" customFormat="1" x14ac:dyDescent="0.3">
      <c r="A576" s="17"/>
      <c r="B576" s="17"/>
    </row>
    <row r="577" spans="1:2" s="24" customFormat="1" x14ac:dyDescent="0.3">
      <c r="A577" s="17"/>
      <c r="B577" s="17"/>
    </row>
    <row r="578" spans="1:2" s="24" customFormat="1" x14ac:dyDescent="0.3">
      <c r="A578" s="17"/>
      <c r="B578" s="17"/>
    </row>
    <row r="579" spans="1:2" s="24" customFormat="1" x14ac:dyDescent="0.3">
      <c r="A579" s="17"/>
      <c r="B579" s="17"/>
    </row>
    <row r="580" spans="1:2" s="24" customFormat="1" x14ac:dyDescent="0.3">
      <c r="A580" s="17"/>
      <c r="B580" s="17"/>
    </row>
    <row r="581" spans="1:2" s="24" customFormat="1" x14ac:dyDescent="0.3">
      <c r="A581" s="17"/>
      <c r="B581" s="17"/>
    </row>
    <row r="582" spans="1:2" s="24" customFormat="1" x14ac:dyDescent="0.3">
      <c r="A582" s="17"/>
      <c r="B582" s="17"/>
    </row>
    <row r="583" spans="1:2" s="24" customFormat="1" x14ac:dyDescent="0.3">
      <c r="A583" s="17"/>
      <c r="B583" s="17"/>
    </row>
    <row r="584" spans="1:2" s="24" customFormat="1" x14ac:dyDescent="0.3">
      <c r="A584" s="17"/>
      <c r="B584" s="17"/>
    </row>
    <row r="585" spans="1:2" s="24" customFormat="1" x14ac:dyDescent="0.3">
      <c r="A585" s="17"/>
      <c r="B585" s="17"/>
    </row>
    <row r="586" spans="1:2" s="24" customFormat="1" x14ac:dyDescent="0.3">
      <c r="A586" s="17"/>
      <c r="B586" s="17"/>
    </row>
    <row r="587" spans="1:2" s="24" customFormat="1" x14ac:dyDescent="0.3">
      <c r="A587" s="17"/>
      <c r="B587" s="17"/>
    </row>
    <row r="588" spans="1:2" s="24" customFormat="1" x14ac:dyDescent="0.3">
      <c r="A588" s="17"/>
      <c r="B588" s="17"/>
    </row>
    <row r="589" spans="1:2" s="24" customFormat="1" x14ac:dyDescent="0.3">
      <c r="A589" s="17"/>
      <c r="B589" s="17"/>
    </row>
    <row r="590" spans="1:2" s="24" customFormat="1" x14ac:dyDescent="0.3">
      <c r="A590" s="17"/>
      <c r="B590" s="17"/>
    </row>
    <row r="591" spans="1:2" s="24" customFormat="1" x14ac:dyDescent="0.3">
      <c r="A591" s="17"/>
      <c r="B591" s="17"/>
    </row>
    <row r="592" spans="1:2" s="24" customFormat="1" x14ac:dyDescent="0.3">
      <c r="A592" s="17"/>
      <c r="B592" s="17"/>
    </row>
    <row r="593" spans="1:2" s="24" customFormat="1" x14ac:dyDescent="0.3">
      <c r="A593" s="17"/>
      <c r="B593" s="17"/>
    </row>
    <row r="594" spans="1:2" s="24" customFormat="1" x14ac:dyDescent="0.3">
      <c r="A594" s="17"/>
      <c r="B594" s="17"/>
    </row>
    <row r="595" spans="1:2" s="24" customFormat="1" x14ac:dyDescent="0.3">
      <c r="A595" s="17"/>
      <c r="B595" s="17"/>
    </row>
    <row r="596" spans="1:2" s="24" customFormat="1" x14ac:dyDescent="0.3">
      <c r="A596" s="17"/>
      <c r="B596" s="17"/>
    </row>
    <row r="597" spans="1:2" s="24" customFormat="1" x14ac:dyDescent="0.3">
      <c r="A597" s="17"/>
      <c r="B597" s="17"/>
    </row>
    <row r="598" spans="1:2" s="24" customFormat="1" x14ac:dyDescent="0.3">
      <c r="A598" s="17"/>
      <c r="B598" s="17"/>
    </row>
    <row r="599" spans="1:2" s="24" customFormat="1" x14ac:dyDescent="0.3">
      <c r="A599" s="17"/>
      <c r="B599" s="17"/>
    </row>
    <row r="600" spans="1:2" s="24" customFormat="1" x14ac:dyDescent="0.3">
      <c r="A600" s="17"/>
      <c r="B600" s="17"/>
    </row>
    <row r="601" spans="1:2" s="24" customFormat="1" x14ac:dyDescent="0.3">
      <c r="A601" s="17"/>
      <c r="B601" s="17"/>
    </row>
    <row r="602" spans="1:2" s="24" customFormat="1" x14ac:dyDescent="0.3">
      <c r="A602" s="17"/>
      <c r="B602" s="17"/>
    </row>
    <row r="603" spans="1:2" s="24" customFormat="1" x14ac:dyDescent="0.3">
      <c r="A603" s="17"/>
      <c r="B603" s="17"/>
    </row>
    <row r="604" spans="1:2" s="24" customFormat="1" x14ac:dyDescent="0.3">
      <c r="A604" s="17"/>
      <c r="B604" s="17"/>
    </row>
    <row r="605" spans="1:2" s="24" customFormat="1" x14ac:dyDescent="0.3">
      <c r="A605" s="17"/>
      <c r="B605" s="17"/>
    </row>
    <row r="606" spans="1:2" s="24" customFormat="1" x14ac:dyDescent="0.3">
      <c r="A606" s="17"/>
      <c r="B606" s="17"/>
    </row>
    <row r="607" spans="1:2" s="24" customFormat="1" x14ac:dyDescent="0.3">
      <c r="A607" s="17"/>
      <c r="B607" s="17"/>
    </row>
    <row r="608" spans="1:2" s="24" customFormat="1" x14ac:dyDescent="0.3">
      <c r="A608" s="17"/>
      <c r="B608" s="17"/>
    </row>
    <row r="609" spans="1:2" s="24" customFormat="1" x14ac:dyDescent="0.3">
      <c r="A609" s="17"/>
      <c r="B609" s="17"/>
    </row>
    <row r="610" spans="1:2" s="24" customFormat="1" x14ac:dyDescent="0.3">
      <c r="A610" s="17"/>
      <c r="B610" s="17"/>
    </row>
    <row r="611" spans="1:2" s="24" customFormat="1" x14ac:dyDescent="0.3">
      <c r="A611" s="17"/>
      <c r="B611" s="17"/>
    </row>
    <row r="612" spans="1:2" s="24" customFormat="1" x14ac:dyDescent="0.3">
      <c r="A612" s="17"/>
      <c r="B612" s="17"/>
    </row>
    <row r="613" spans="1:2" s="24" customFormat="1" x14ac:dyDescent="0.3">
      <c r="A613" s="17"/>
      <c r="B613" s="17"/>
    </row>
    <row r="614" spans="1:2" s="24" customFormat="1" x14ac:dyDescent="0.3">
      <c r="A614" s="17"/>
      <c r="B614" s="17"/>
    </row>
    <row r="615" spans="1:2" s="24" customFormat="1" x14ac:dyDescent="0.3">
      <c r="A615" s="17"/>
      <c r="B615" s="17"/>
    </row>
    <row r="616" spans="1:2" s="24" customFormat="1" x14ac:dyDescent="0.3">
      <c r="A616" s="17"/>
      <c r="B616" s="17"/>
    </row>
    <row r="617" spans="1:2" s="24" customFormat="1" x14ac:dyDescent="0.3">
      <c r="A617" s="17"/>
      <c r="B617" s="17"/>
    </row>
    <row r="618" spans="1:2" s="24" customFormat="1" x14ac:dyDescent="0.3">
      <c r="A618" s="17"/>
      <c r="B618" s="17"/>
    </row>
    <row r="619" spans="1:2" s="24" customFormat="1" x14ac:dyDescent="0.3">
      <c r="A619" s="17"/>
      <c r="B619" s="17"/>
    </row>
    <row r="620" spans="1:2" s="24" customFormat="1" x14ac:dyDescent="0.3">
      <c r="A620" s="17"/>
      <c r="B620" s="17"/>
    </row>
    <row r="621" spans="1:2" s="24" customFormat="1" x14ac:dyDescent="0.3">
      <c r="A621" s="17"/>
      <c r="B621" s="17"/>
    </row>
    <row r="622" spans="1:2" s="24" customFormat="1" x14ac:dyDescent="0.3">
      <c r="A622" s="17"/>
      <c r="B622" s="17"/>
    </row>
    <row r="623" spans="1:2" s="24" customFormat="1" x14ac:dyDescent="0.3">
      <c r="A623" s="17"/>
      <c r="B623" s="17"/>
    </row>
    <row r="624" spans="1:2" s="24" customFormat="1" x14ac:dyDescent="0.3">
      <c r="A624" s="17"/>
      <c r="B624" s="17"/>
    </row>
    <row r="625" spans="1:2" s="24" customFormat="1" x14ac:dyDescent="0.3">
      <c r="A625" s="17"/>
      <c r="B625" s="17"/>
    </row>
    <row r="626" spans="1:2" s="24" customFormat="1" x14ac:dyDescent="0.3">
      <c r="A626" s="17"/>
      <c r="B626" s="17"/>
    </row>
    <row r="627" spans="1:2" s="24" customFormat="1" x14ac:dyDescent="0.3">
      <c r="A627" s="17"/>
      <c r="B627" s="17"/>
    </row>
    <row r="628" spans="1:2" s="24" customFormat="1" x14ac:dyDescent="0.3">
      <c r="A628" s="17"/>
      <c r="B628" s="17"/>
    </row>
    <row r="629" spans="1:2" s="24" customFormat="1" x14ac:dyDescent="0.3">
      <c r="A629" s="17"/>
      <c r="B629" s="17"/>
    </row>
    <row r="630" spans="1:2" s="24" customFormat="1" x14ac:dyDescent="0.3">
      <c r="A630" s="17"/>
      <c r="B630" s="17"/>
    </row>
    <row r="631" spans="1:2" s="24" customFormat="1" x14ac:dyDescent="0.3">
      <c r="A631" s="17"/>
      <c r="B631" s="17"/>
    </row>
    <row r="632" spans="1:2" s="24" customFormat="1" x14ac:dyDescent="0.3">
      <c r="A632" s="17"/>
      <c r="B632" s="17"/>
    </row>
    <row r="633" spans="1:2" s="24" customFormat="1" x14ac:dyDescent="0.3">
      <c r="A633" s="17"/>
      <c r="B633" s="17"/>
    </row>
    <row r="634" spans="1:2" s="24" customFormat="1" x14ac:dyDescent="0.3">
      <c r="A634" s="17"/>
      <c r="B634" s="17"/>
    </row>
    <row r="635" spans="1:2" s="24" customFormat="1" x14ac:dyDescent="0.3">
      <c r="A635" s="17"/>
      <c r="B635" s="17"/>
    </row>
    <row r="636" spans="1:2" s="24" customFormat="1" x14ac:dyDescent="0.3">
      <c r="A636" s="17"/>
      <c r="B636" s="17"/>
    </row>
    <row r="637" spans="1:2" s="24" customFormat="1" x14ac:dyDescent="0.3">
      <c r="A637" s="17"/>
      <c r="B637" s="17"/>
    </row>
    <row r="638" spans="1:2" s="24" customFormat="1" x14ac:dyDescent="0.3">
      <c r="A638" s="17"/>
      <c r="B638" s="17"/>
    </row>
    <row r="639" spans="1:2" s="24" customFormat="1" x14ac:dyDescent="0.3">
      <c r="A639" s="17"/>
      <c r="B639" s="17"/>
    </row>
    <row r="640" spans="1:2" s="24" customFormat="1" x14ac:dyDescent="0.3">
      <c r="A640" s="17"/>
      <c r="B640" s="17"/>
    </row>
    <row r="641" spans="1:2" s="24" customFormat="1" x14ac:dyDescent="0.3">
      <c r="A641" s="17"/>
      <c r="B641" s="17"/>
    </row>
    <row r="642" spans="1:2" s="24" customFormat="1" x14ac:dyDescent="0.3">
      <c r="A642" s="17"/>
      <c r="B642" s="17"/>
    </row>
    <row r="643" spans="1:2" s="24" customFormat="1" x14ac:dyDescent="0.3">
      <c r="A643" s="17"/>
      <c r="B643" s="17"/>
    </row>
    <row r="644" spans="1:2" s="24" customFormat="1" x14ac:dyDescent="0.3">
      <c r="A644" s="17"/>
      <c r="B644" s="17"/>
    </row>
    <row r="645" spans="1:2" s="24" customFormat="1" x14ac:dyDescent="0.3">
      <c r="A645" s="17"/>
      <c r="B645" s="17"/>
    </row>
    <row r="646" spans="1:2" s="24" customFormat="1" x14ac:dyDescent="0.3">
      <c r="A646" s="17"/>
      <c r="B646" s="17"/>
    </row>
    <row r="647" spans="1:2" s="24" customFormat="1" x14ac:dyDescent="0.3">
      <c r="A647" s="17"/>
      <c r="B647" s="17"/>
    </row>
    <row r="648" spans="1:2" s="24" customFormat="1" x14ac:dyDescent="0.3">
      <c r="A648" s="17"/>
      <c r="B648" s="17"/>
    </row>
    <row r="649" spans="1:2" s="24" customFormat="1" x14ac:dyDescent="0.3">
      <c r="A649" s="17"/>
      <c r="B649" s="17"/>
    </row>
    <row r="650" spans="1:2" s="24" customFormat="1" x14ac:dyDescent="0.3">
      <c r="A650" s="17"/>
      <c r="B650" s="17"/>
    </row>
    <row r="651" spans="1:2" s="24" customFormat="1" x14ac:dyDescent="0.3">
      <c r="A651" s="17"/>
      <c r="B651" s="17"/>
    </row>
    <row r="652" spans="1:2" s="24" customFormat="1" x14ac:dyDescent="0.3">
      <c r="A652" s="17"/>
      <c r="B652" s="17"/>
    </row>
    <row r="653" spans="1:2" s="24" customFormat="1" x14ac:dyDescent="0.3">
      <c r="A653" s="17"/>
      <c r="B653" s="17"/>
    </row>
    <row r="654" spans="1:2" s="24" customFormat="1" x14ac:dyDescent="0.3">
      <c r="A654" s="17"/>
      <c r="B654" s="17"/>
    </row>
    <row r="655" spans="1:2" s="24" customFormat="1" x14ac:dyDescent="0.3">
      <c r="A655" s="17"/>
      <c r="B655" s="17"/>
    </row>
    <row r="656" spans="1:2" s="24" customFormat="1" x14ac:dyDescent="0.3">
      <c r="A656" s="17"/>
      <c r="B656" s="17"/>
    </row>
    <row r="657" spans="1:2" s="24" customFormat="1" x14ac:dyDescent="0.3">
      <c r="A657" s="17"/>
      <c r="B657" s="17"/>
    </row>
    <row r="658" spans="1:2" s="24" customFormat="1" x14ac:dyDescent="0.3">
      <c r="A658" s="17"/>
      <c r="B658" s="17"/>
    </row>
    <row r="659" spans="1:2" s="24" customFormat="1" x14ac:dyDescent="0.3">
      <c r="A659" s="17"/>
      <c r="B659" s="17"/>
    </row>
    <row r="660" spans="1:2" s="24" customFormat="1" x14ac:dyDescent="0.3">
      <c r="A660" s="17"/>
      <c r="B660" s="17"/>
    </row>
    <row r="661" spans="1:2" s="24" customFormat="1" x14ac:dyDescent="0.3">
      <c r="A661" s="17"/>
      <c r="B661" s="17"/>
    </row>
    <row r="662" spans="1:2" s="24" customFormat="1" x14ac:dyDescent="0.3">
      <c r="A662" s="17"/>
      <c r="B662" s="17"/>
    </row>
    <row r="663" spans="1:2" s="24" customFormat="1" x14ac:dyDescent="0.3">
      <c r="A663" s="17"/>
      <c r="B663" s="17"/>
    </row>
    <row r="664" spans="1:2" s="24" customFormat="1" x14ac:dyDescent="0.3">
      <c r="A664" s="17"/>
      <c r="B664" s="17"/>
    </row>
    <row r="665" spans="1:2" s="24" customFormat="1" x14ac:dyDescent="0.3">
      <c r="A665" s="17"/>
      <c r="B665" s="17"/>
    </row>
    <row r="666" spans="1:2" s="24" customFormat="1" x14ac:dyDescent="0.3">
      <c r="A666" s="17"/>
      <c r="B666" s="17"/>
    </row>
    <row r="667" spans="1:2" s="24" customFormat="1" x14ac:dyDescent="0.3">
      <c r="A667" s="17"/>
      <c r="B667" s="17"/>
    </row>
    <row r="668" spans="1:2" s="24" customFormat="1" x14ac:dyDescent="0.3">
      <c r="A668" s="17"/>
      <c r="B668" s="17"/>
    </row>
    <row r="669" spans="1:2" s="24" customFormat="1" x14ac:dyDescent="0.3">
      <c r="A669" s="17"/>
      <c r="B669" s="17"/>
    </row>
    <row r="670" spans="1:2" s="24" customFormat="1" x14ac:dyDescent="0.3">
      <c r="A670" s="17"/>
      <c r="B670" s="17"/>
    </row>
    <row r="671" spans="1:2" s="24" customFormat="1" x14ac:dyDescent="0.3">
      <c r="A671" s="17"/>
      <c r="B671" s="17"/>
    </row>
    <row r="672" spans="1:2" s="24" customFormat="1" x14ac:dyDescent="0.3">
      <c r="A672" s="17"/>
      <c r="B672" s="17"/>
    </row>
    <row r="673" spans="1:2" s="24" customFormat="1" x14ac:dyDescent="0.3">
      <c r="A673" s="17"/>
      <c r="B673" s="17"/>
    </row>
    <row r="674" spans="1:2" s="24" customFormat="1" x14ac:dyDescent="0.3">
      <c r="A674" s="17"/>
      <c r="B674" s="17"/>
    </row>
    <row r="675" spans="1:2" s="24" customFormat="1" x14ac:dyDescent="0.3">
      <c r="A675" s="17"/>
      <c r="B675" s="17"/>
    </row>
    <row r="676" spans="1:2" s="24" customFormat="1" x14ac:dyDescent="0.3">
      <c r="A676" s="17"/>
      <c r="B676" s="17"/>
    </row>
    <row r="677" spans="1:2" s="24" customFormat="1" x14ac:dyDescent="0.3">
      <c r="A677" s="17"/>
      <c r="B677" s="17"/>
    </row>
    <row r="678" spans="1:2" s="24" customFormat="1" x14ac:dyDescent="0.3">
      <c r="A678" s="17"/>
      <c r="B678" s="17"/>
    </row>
    <row r="679" spans="1:2" s="24" customFormat="1" x14ac:dyDescent="0.3">
      <c r="A679" s="17"/>
      <c r="B679" s="17"/>
    </row>
    <row r="680" spans="1:2" s="24" customFormat="1" x14ac:dyDescent="0.3">
      <c r="A680" s="17"/>
      <c r="B680" s="17"/>
    </row>
    <row r="681" spans="1:2" s="24" customFormat="1" x14ac:dyDescent="0.3">
      <c r="A681" s="17"/>
      <c r="B681" s="17"/>
    </row>
    <row r="682" spans="1:2" s="24" customFormat="1" x14ac:dyDescent="0.3">
      <c r="A682" s="17"/>
      <c r="B682" s="17"/>
    </row>
    <row r="683" spans="1:2" s="24" customFormat="1" x14ac:dyDescent="0.3">
      <c r="A683" s="17"/>
      <c r="B683" s="17"/>
    </row>
    <row r="684" spans="1:2" s="24" customFormat="1" x14ac:dyDescent="0.3">
      <c r="A684" s="17"/>
      <c r="B684" s="17"/>
    </row>
    <row r="685" spans="1:2" s="24" customFormat="1" x14ac:dyDescent="0.3">
      <c r="A685" s="17"/>
      <c r="B685" s="17"/>
    </row>
    <row r="686" spans="1:2" s="24" customFormat="1" x14ac:dyDescent="0.3">
      <c r="A686" s="17"/>
      <c r="B686" s="17"/>
    </row>
    <row r="687" spans="1:2" s="24" customFormat="1" x14ac:dyDescent="0.3">
      <c r="A687" s="17"/>
      <c r="B687" s="17"/>
    </row>
    <row r="688" spans="1:2" s="24" customFormat="1" x14ac:dyDescent="0.3">
      <c r="A688" s="17"/>
      <c r="B688" s="17"/>
    </row>
    <row r="689" spans="1:2" s="24" customFormat="1" x14ac:dyDescent="0.3">
      <c r="A689" s="17"/>
      <c r="B689" s="17"/>
    </row>
    <row r="690" spans="1:2" s="24" customFormat="1" x14ac:dyDescent="0.3">
      <c r="A690" s="17"/>
      <c r="B690" s="17"/>
    </row>
    <row r="691" spans="1:2" s="24" customFormat="1" x14ac:dyDescent="0.3">
      <c r="A691" s="17"/>
      <c r="B691" s="17"/>
    </row>
    <row r="692" spans="1:2" s="24" customFormat="1" x14ac:dyDescent="0.3">
      <c r="A692" s="17"/>
      <c r="B692" s="17"/>
    </row>
    <row r="693" spans="1:2" s="24" customFormat="1" x14ac:dyDescent="0.3">
      <c r="A693" s="17"/>
      <c r="B693" s="17"/>
    </row>
    <row r="694" spans="1:2" s="24" customFormat="1" x14ac:dyDescent="0.3">
      <c r="A694" s="17"/>
      <c r="B694" s="17"/>
    </row>
    <row r="695" spans="1:2" s="24" customFormat="1" x14ac:dyDescent="0.3">
      <c r="A695" s="17"/>
      <c r="B695" s="17"/>
    </row>
    <row r="696" spans="1:2" s="24" customFormat="1" x14ac:dyDescent="0.3">
      <c r="A696" s="17"/>
      <c r="B696" s="17"/>
    </row>
    <row r="697" spans="1:2" s="24" customFormat="1" x14ac:dyDescent="0.3">
      <c r="A697" s="17"/>
      <c r="B697" s="17"/>
    </row>
    <row r="698" spans="1:2" s="24" customFormat="1" x14ac:dyDescent="0.3">
      <c r="A698" s="17"/>
      <c r="B698" s="17"/>
    </row>
    <row r="699" spans="1:2" s="24" customFormat="1" x14ac:dyDescent="0.3">
      <c r="A699" s="17"/>
      <c r="B699" s="17"/>
    </row>
    <row r="700" spans="1:2" s="24" customFormat="1" x14ac:dyDescent="0.3">
      <c r="A700" s="17"/>
      <c r="B700" s="17"/>
    </row>
    <row r="701" spans="1:2" s="24" customFormat="1" x14ac:dyDescent="0.3">
      <c r="A701" s="17"/>
      <c r="B701" s="17"/>
    </row>
    <row r="702" spans="1:2" s="24" customFormat="1" x14ac:dyDescent="0.3">
      <c r="A702" s="17"/>
      <c r="B702" s="17"/>
    </row>
    <row r="703" spans="1:2" s="24" customFormat="1" x14ac:dyDescent="0.3">
      <c r="A703" s="17"/>
      <c r="B703" s="17"/>
    </row>
    <row r="704" spans="1:2" s="24" customFormat="1" x14ac:dyDescent="0.3">
      <c r="A704" s="17"/>
      <c r="B704" s="17"/>
    </row>
    <row r="705" spans="1:2" s="24" customFormat="1" x14ac:dyDescent="0.3">
      <c r="A705" s="17"/>
      <c r="B705" s="17"/>
    </row>
    <row r="706" spans="1:2" s="24" customFormat="1" x14ac:dyDescent="0.3">
      <c r="A706" s="17"/>
      <c r="B706" s="17"/>
    </row>
    <row r="707" spans="1:2" s="24" customFormat="1" x14ac:dyDescent="0.3">
      <c r="A707" s="17"/>
      <c r="B707" s="17"/>
    </row>
    <row r="708" spans="1:2" s="24" customFormat="1" x14ac:dyDescent="0.3">
      <c r="A708" s="17"/>
      <c r="B708" s="17"/>
    </row>
    <row r="709" spans="1:2" s="24" customFormat="1" x14ac:dyDescent="0.3">
      <c r="A709" s="17"/>
      <c r="B709" s="17"/>
    </row>
    <row r="710" spans="1:2" s="24" customFormat="1" x14ac:dyDescent="0.3">
      <c r="A710" s="17"/>
      <c r="B710" s="17"/>
    </row>
    <row r="711" spans="1:2" s="24" customFormat="1" x14ac:dyDescent="0.3">
      <c r="A711" s="17"/>
      <c r="B711" s="17"/>
    </row>
    <row r="712" spans="1:2" s="24" customFormat="1" x14ac:dyDescent="0.3">
      <c r="A712" s="17"/>
      <c r="B712" s="17"/>
    </row>
    <row r="713" spans="1:2" s="24" customFormat="1" x14ac:dyDescent="0.3">
      <c r="A713" s="17"/>
      <c r="B713" s="17"/>
    </row>
    <row r="714" spans="1:2" s="24" customFormat="1" x14ac:dyDescent="0.3">
      <c r="A714" s="17"/>
      <c r="B714" s="17"/>
    </row>
    <row r="715" spans="1:2" s="24" customFormat="1" x14ac:dyDescent="0.3">
      <c r="A715" s="17"/>
      <c r="B715" s="17"/>
    </row>
    <row r="716" spans="1:2" s="24" customFormat="1" x14ac:dyDescent="0.3">
      <c r="A716" s="17"/>
      <c r="B716" s="17"/>
    </row>
    <row r="717" spans="1:2" s="24" customFormat="1" x14ac:dyDescent="0.3">
      <c r="A717" s="17"/>
      <c r="B717" s="17"/>
    </row>
    <row r="718" spans="1:2" s="24" customFormat="1" x14ac:dyDescent="0.3">
      <c r="A718" s="17"/>
      <c r="B718" s="17"/>
    </row>
    <row r="719" spans="1:2" s="24" customFormat="1" x14ac:dyDescent="0.3">
      <c r="A719" s="17"/>
      <c r="B719" s="17"/>
    </row>
    <row r="720" spans="1:2" s="24" customFormat="1" x14ac:dyDescent="0.3">
      <c r="A720" s="17"/>
      <c r="B720" s="17"/>
    </row>
    <row r="721" spans="1:2" s="24" customFormat="1" x14ac:dyDescent="0.3">
      <c r="A721" s="17"/>
      <c r="B721" s="17"/>
    </row>
    <row r="722" spans="1:2" s="24" customFormat="1" x14ac:dyDescent="0.3">
      <c r="A722" s="17"/>
      <c r="B722" s="17"/>
    </row>
    <row r="723" spans="1:2" s="24" customFormat="1" x14ac:dyDescent="0.3">
      <c r="A723" s="17"/>
      <c r="B723" s="17"/>
    </row>
    <row r="724" spans="1:2" s="24" customFormat="1" x14ac:dyDescent="0.3">
      <c r="A724" s="17"/>
      <c r="B724" s="17"/>
    </row>
    <row r="725" spans="1:2" s="24" customFormat="1" x14ac:dyDescent="0.3">
      <c r="A725" s="17"/>
      <c r="B725" s="17"/>
    </row>
    <row r="726" spans="1:2" s="24" customFormat="1" x14ac:dyDescent="0.3">
      <c r="A726" s="17"/>
      <c r="B726" s="17"/>
    </row>
    <row r="727" spans="1:2" s="24" customFormat="1" x14ac:dyDescent="0.3">
      <c r="A727" s="17"/>
      <c r="B727" s="17"/>
    </row>
    <row r="728" spans="1:2" s="24" customFormat="1" x14ac:dyDescent="0.3">
      <c r="A728" s="17"/>
      <c r="B728" s="17"/>
    </row>
    <row r="729" spans="1:2" s="24" customFormat="1" x14ac:dyDescent="0.3">
      <c r="A729" s="17"/>
      <c r="B729" s="17"/>
    </row>
    <row r="730" spans="1:2" s="24" customFormat="1" x14ac:dyDescent="0.3">
      <c r="A730" s="17"/>
      <c r="B730" s="17"/>
    </row>
    <row r="731" spans="1:2" s="24" customFormat="1" x14ac:dyDescent="0.3">
      <c r="A731" s="17"/>
      <c r="B731" s="17"/>
    </row>
    <row r="732" spans="1:2" s="24" customFormat="1" x14ac:dyDescent="0.3">
      <c r="A732" s="17"/>
      <c r="B732" s="17"/>
    </row>
    <row r="733" spans="1:2" s="24" customFormat="1" x14ac:dyDescent="0.3">
      <c r="A733" s="17"/>
      <c r="B733" s="17"/>
    </row>
    <row r="734" spans="1:2" s="24" customFormat="1" x14ac:dyDescent="0.3">
      <c r="A734" s="17"/>
      <c r="B734" s="17"/>
    </row>
    <row r="735" spans="1:2" s="24" customFormat="1" x14ac:dyDescent="0.3">
      <c r="A735" s="17"/>
      <c r="B735" s="17"/>
    </row>
    <row r="736" spans="1:2" s="24" customFormat="1" x14ac:dyDescent="0.3">
      <c r="A736" s="17"/>
      <c r="B736" s="17"/>
    </row>
    <row r="737" spans="1:2" s="24" customFormat="1" x14ac:dyDescent="0.3">
      <c r="A737" s="17"/>
      <c r="B737" s="17"/>
    </row>
    <row r="738" spans="1:2" s="24" customFormat="1" x14ac:dyDescent="0.3">
      <c r="A738" s="17"/>
      <c r="B738" s="17"/>
    </row>
    <row r="739" spans="1:2" s="24" customFormat="1" x14ac:dyDescent="0.3">
      <c r="A739" s="17"/>
      <c r="B739" s="17"/>
    </row>
    <row r="740" spans="1:2" s="24" customFormat="1" x14ac:dyDescent="0.3">
      <c r="A740" s="17"/>
      <c r="B740" s="17"/>
    </row>
    <row r="741" spans="1:2" s="24" customFormat="1" x14ac:dyDescent="0.3">
      <c r="A741" s="17"/>
      <c r="B741" s="17"/>
    </row>
    <row r="742" spans="1:2" s="24" customFormat="1" x14ac:dyDescent="0.3">
      <c r="A742" s="17"/>
      <c r="B742" s="17"/>
    </row>
    <row r="743" spans="1:2" s="24" customFormat="1" x14ac:dyDescent="0.3">
      <c r="A743" s="17"/>
      <c r="B743" s="17"/>
    </row>
    <row r="744" spans="1:2" s="24" customFormat="1" x14ac:dyDescent="0.3">
      <c r="A744" s="17"/>
      <c r="B744" s="17"/>
    </row>
    <row r="745" spans="1:2" s="24" customFormat="1" x14ac:dyDescent="0.3">
      <c r="A745" s="17"/>
      <c r="B745" s="17"/>
    </row>
    <row r="746" spans="1:2" s="24" customFormat="1" x14ac:dyDescent="0.3">
      <c r="A746" s="17"/>
      <c r="B746" s="17"/>
    </row>
    <row r="747" spans="1:2" s="24" customFormat="1" x14ac:dyDescent="0.3">
      <c r="A747" s="17"/>
      <c r="B747" s="17"/>
    </row>
    <row r="748" spans="1:2" s="24" customFormat="1" x14ac:dyDescent="0.3">
      <c r="A748" s="17"/>
      <c r="B748" s="17"/>
    </row>
    <row r="749" spans="1:2" s="24" customFormat="1" x14ac:dyDescent="0.3">
      <c r="A749" s="17"/>
      <c r="B749" s="17"/>
    </row>
    <row r="750" spans="1:2" s="24" customFormat="1" x14ac:dyDescent="0.3">
      <c r="A750" s="17"/>
      <c r="B750" s="17"/>
    </row>
    <row r="751" spans="1:2" s="24" customFormat="1" x14ac:dyDescent="0.3">
      <c r="A751" s="17"/>
      <c r="B751" s="17"/>
    </row>
    <row r="752" spans="1:2" s="24" customFormat="1" x14ac:dyDescent="0.3">
      <c r="A752" s="17"/>
      <c r="B752" s="17"/>
    </row>
    <row r="753" spans="1:2" s="24" customFormat="1" x14ac:dyDescent="0.3">
      <c r="A753" s="17"/>
      <c r="B753" s="17"/>
    </row>
    <row r="754" spans="1:2" s="24" customFormat="1" x14ac:dyDescent="0.3">
      <c r="A754" s="17"/>
      <c r="B754" s="17"/>
    </row>
    <row r="755" spans="1:2" s="24" customFormat="1" x14ac:dyDescent="0.3">
      <c r="A755" s="17"/>
      <c r="B755" s="17"/>
    </row>
    <row r="756" spans="1:2" s="24" customFormat="1" x14ac:dyDescent="0.3">
      <c r="A756" s="17"/>
      <c r="B756" s="17"/>
    </row>
    <row r="757" spans="1:2" s="24" customFormat="1" x14ac:dyDescent="0.3">
      <c r="A757" s="17"/>
      <c r="B757" s="17"/>
    </row>
    <row r="758" spans="1:2" s="24" customFormat="1" x14ac:dyDescent="0.3">
      <c r="A758" s="17"/>
      <c r="B758" s="17"/>
    </row>
    <row r="759" spans="1:2" s="24" customFormat="1" x14ac:dyDescent="0.3">
      <c r="A759" s="17"/>
      <c r="B759" s="17"/>
    </row>
    <row r="760" spans="1:2" s="24" customFormat="1" x14ac:dyDescent="0.3">
      <c r="A760" s="17"/>
      <c r="B760" s="17"/>
    </row>
    <row r="761" spans="1:2" s="24" customFormat="1" x14ac:dyDescent="0.3">
      <c r="A761" s="17"/>
      <c r="B761" s="17"/>
    </row>
    <row r="762" spans="1:2" s="24" customFormat="1" x14ac:dyDescent="0.3">
      <c r="A762" s="17"/>
      <c r="B762" s="17"/>
    </row>
    <row r="763" spans="1:2" s="24" customFormat="1" x14ac:dyDescent="0.3">
      <c r="A763" s="17"/>
      <c r="B763" s="17"/>
    </row>
    <row r="764" spans="1:2" s="24" customFormat="1" x14ac:dyDescent="0.3">
      <c r="A764" s="17"/>
      <c r="B764" s="17"/>
    </row>
    <row r="765" spans="1:2" s="24" customFormat="1" x14ac:dyDescent="0.3">
      <c r="A765" s="17"/>
      <c r="B765" s="17"/>
    </row>
    <row r="766" spans="1:2" s="24" customFormat="1" x14ac:dyDescent="0.3">
      <c r="A766" s="17"/>
      <c r="B766" s="17"/>
    </row>
    <row r="767" spans="1:2" s="24" customFormat="1" x14ac:dyDescent="0.3">
      <c r="A767" s="17"/>
      <c r="B767" s="17"/>
    </row>
    <row r="768" spans="1:2" s="24" customFormat="1" x14ac:dyDescent="0.3">
      <c r="A768" s="17"/>
      <c r="B768" s="17"/>
    </row>
    <row r="769" spans="1:2" s="24" customFormat="1" x14ac:dyDescent="0.3">
      <c r="A769" s="17"/>
      <c r="B769" s="17"/>
    </row>
    <row r="770" spans="1:2" s="24" customFormat="1" x14ac:dyDescent="0.3">
      <c r="A770" s="17"/>
      <c r="B770" s="17"/>
    </row>
    <row r="771" spans="1:2" s="24" customFormat="1" x14ac:dyDescent="0.3">
      <c r="A771" s="17"/>
      <c r="B771" s="17"/>
    </row>
    <row r="772" spans="1:2" s="24" customFormat="1" x14ac:dyDescent="0.3">
      <c r="A772" s="17"/>
      <c r="B772" s="17"/>
    </row>
    <row r="773" spans="1:2" s="24" customFormat="1" x14ac:dyDescent="0.3">
      <c r="A773" s="17"/>
      <c r="B773" s="17"/>
    </row>
    <row r="774" spans="1:2" s="24" customFormat="1" x14ac:dyDescent="0.3">
      <c r="A774" s="17"/>
      <c r="B774" s="17"/>
    </row>
    <row r="775" spans="1:2" s="24" customFormat="1" x14ac:dyDescent="0.3">
      <c r="A775" s="17"/>
      <c r="B775" s="17"/>
    </row>
    <row r="776" spans="1:2" s="24" customFormat="1" x14ac:dyDescent="0.3">
      <c r="A776" s="17"/>
      <c r="B776" s="17"/>
    </row>
    <row r="777" spans="1:2" s="24" customFormat="1" x14ac:dyDescent="0.3">
      <c r="A777" s="17"/>
      <c r="B777" s="17"/>
    </row>
    <row r="778" spans="1:2" s="24" customFormat="1" x14ac:dyDescent="0.3">
      <c r="A778" s="17"/>
      <c r="B778" s="17"/>
    </row>
    <row r="779" spans="1:2" s="24" customFormat="1" x14ac:dyDescent="0.3">
      <c r="A779" s="17"/>
      <c r="B779" s="17"/>
    </row>
    <row r="780" spans="1:2" s="24" customFormat="1" x14ac:dyDescent="0.3">
      <c r="A780" s="17"/>
      <c r="B780" s="17"/>
    </row>
    <row r="781" spans="1:2" s="24" customFormat="1" x14ac:dyDescent="0.3">
      <c r="A781" s="17"/>
      <c r="B781" s="17"/>
    </row>
    <row r="782" spans="1:2" s="24" customFormat="1" x14ac:dyDescent="0.3">
      <c r="A782" s="17"/>
      <c r="B782" s="17"/>
    </row>
    <row r="783" spans="1:2" s="24" customFormat="1" x14ac:dyDescent="0.3">
      <c r="A783" s="17"/>
      <c r="B783" s="17"/>
    </row>
    <row r="784" spans="1:2" s="24" customFormat="1" x14ac:dyDescent="0.3">
      <c r="A784" s="17"/>
      <c r="B784" s="17"/>
    </row>
    <row r="785" spans="1:2" s="24" customFormat="1" x14ac:dyDescent="0.3">
      <c r="A785" s="17"/>
      <c r="B785" s="17"/>
    </row>
    <row r="786" spans="1:2" s="24" customFormat="1" x14ac:dyDescent="0.3">
      <c r="A786" s="17"/>
      <c r="B786" s="17"/>
    </row>
    <row r="787" spans="1:2" s="24" customFormat="1" x14ac:dyDescent="0.3">
      <c r="A787" s="17"/>
      <c r="B787" s="17"/>
    </row>
    <row r="788" spans="1:2" s="24" customFormat="1" x14ac:dyDescent="0.3">
      <c r="A788" s="17"/>
      <c r="B788" s="17"/>
    </row>
    <row r="789" spans="1:2" s="24" customFormat="1" x14ac:dyDescent="0.3">
      <c r="A789" s="17"/>
      <c r="B789" s="17"/>
    </row>
    <row r="790" spans="1:2" s="24" customFormat="1" x14ac:dyDescent="0.3">
      <c r="A790" s="17"/>
      <c r="B790" s="17"/>
    </row>
    <row r="791" spans="1:2" s="24" customFormat="1" x14ac:dyDescent="0.3">
      <c r="A791" s="17"/>
      <c r="B791" s="17"/>
    </row>
    <row r="792" spans="1:2" s="24" customFormat="1" x14ac:dyDescent="0.3">
      <c r="A792" s="17"/>
      <c r="B792" s="17"/>
    </row>
    <row r="793" spans="1:2" s="24" customFormat="1" x14ac:dyDescent="0.3">
      <c r="A793" s="17"/>
      <c r="B793" s="17"/>
    </row>
    <row r="794" spans="1:2" s="24" customFormat="1" x14ac:dyDescent="0.3">
      <c r="A794" s="17"/>
      <c r="B794" s="17"/>
    </row>
    <row r="795" spans="1:2" s="24" customFormat="1" x14ac:dyDescent="0.3">
      <c r="A795" s="17"/>
      <c r="B795" s="17"/>
    </row>
    <row r="796" spans="1:2" s="24" customFormat="1" x14ac:dyDescent="0.3">
      <c r="A796" s="17"/>
      <c r="B796" s="17"/>
    </row>
    <row r="797" spans="1:2" s="24" customFormat="1" x14ac:dyDescent="0.3">
      <c r="A797" s="17"/>
      <c r="B797" s="17"/>
    </row>
    <row r="798" spans="1:2" s="24" customFormat="1" x14ac:dyDescent="0.3">
      <c r="A798" s="17"/>
      <c r="B798" s="17"/>
    </row>
    <row r="799" spans="1:2" s="24" customFormat="1" x14ac:dyDescent="0.3">
      <c r="A799" s="17"/>
      <c r="B799" s="17"/>
    </row>
    <row r="800" spans="1:2" s="24" customFormat="1" x14ac:dyDescent="0.3">
      <c r="A800" s="17"/>
      <c r="B800" s="17"/>
    </row>
    <row r="801" spans="1:2" s="24" customFormat="1" x14ac:dyDescent="0.3">
      <c r="A801" s="17"/>
      <c r="B801" s="17"/>
    </row>
    <row r="802" spans="1:2" s="24" customFormat="1" x14ac:dyDescent="0.3">
      <c r="A802" s="17"/>
      <c r="B802" s="17"/>
    </row>
    <row r="803" spans="1:2" s="24" customFormat="1" x14ac:dyDescent="0.3">
      <c r="A803" s="17"/>
      <c r="B803" s="17"/>
    </row>
    <row r="804" spans="1:2" s="24" customFormat="1" x14ac:dyDescent="0.3">
      <c r="A804" s="17"/>
      <c r="B804" s="17"/>
    </row>
    <row r="805" spans="1:2" s="24" customFormat="1" x14ac:dyDescent="0.3">
      <c r="A805" s="17"/>
      <c r="B805" s="17"/>
    </row>
    <row r="806" spans="1:2" s="24" customFormat="1" x14ac:dyDescent="0.3">
      <c r="A806" s="17"/>
      <c r="B806" s="17"/>
    </row>
    <row r="807" spans="1:2" s="24" customFormat="1" x14ac:dyDescent="0.3">
      <c r="A807" s="17"/>
      <c r="B807" s="17"/>
    </row>
    <row r="808" spans="1:2" s="24" customFormat="1" x14ac:dyDescent="0.3">
      <c r="A808" s="17"/>
      <c r="B808" s="17"/>
    </row>
    <row r="809" spans="1:2" s="24" customFormat="1" x14ac:dyDescent="0.3">
      <c r="A809" s="17"/>
      <c r="B809" s="17"/>
    </row>
    <row r="810" spans="1:2" s="24" customFormat="1" x14ac:dyDescent="0.3">
      <c r="A810" s="17"/>
      <c r="B810" s="17"/>
    </row>
    <row r="811" spans="1:2" s="24" customFormat="1" x14ac:dyDescent="0.3">
      <c r="A811" s="17"/>
      <c r="B811" s="17"/>
    </row>
    <row r="812" spans="1:2" s="24" customFormat="1" x14ac:dyDescent="0.3">
      <c r="A812" s="17"/>
      <c r="B812" s="17"/>
    </row>
    <row r="813" spans="1:2" s="24" customFormat="1" x14ac:dyDescent="0.3">
      <c r="A813" s="17"/>
      <c r="B813" s="17"/>
    </row>
    <row r="814" spans="1:2" s="24" customFormat="1" x14ac:dyDescent="0.3">
      <c r="A814" s="17"/>
      <c r="B814" s="17"/>
    </row>
    <row r="815" spans="1:2" s="24" customFormat="1" x14ac:dyDescent="0.3">
      <c r="A815" s="17"/>
      <c r="B815" s="17"/>
    </row>
    <row r="816" spans="1:2" s="24" customFormat="1" x14ac:dyDescent="0.3">
      <c r="A816" s="17"/>
      <c r="B816" s="17"/>
    </row>
    <row r="817" spans="1:2" s="24" customFormat="1" x14ac:dyDescent="0.3">
      <c r="A817" s="17"/>
      <c r="B817" s="17"/>
    </row>
    <row r="818" spans="1:2" s="24" customFormat="1" x14ac:dyDescent="0.3">
      <c r="A818" s="17"/>
      <c r="B818" s="17"/>
    </row>
    <row r="819" spans="1:2" s="24" customFormat="1" x14ac:dyDescent="0.3">
      <c r="A819" s="17"/>
      <c r="B819" s="17"/>
    </row>
    <row r="820" spans="1:2" s="24" customFormat="1" x14ac:dyDescent="0.3">
      <c r="A820" s="17"/>
      <c r="B820" s="17"/>
    </row>
    <row r="821" spans="1:2" s="24" customFormat="1" x14ac:dyDescent="0.3">
      <c r="A821" s="17"/>
      <c r="B821" s="17"/>
    </row>
    <row r="822" spans="1:2" s="24" customFormat="1" x14ac:dyDescent="0.3">
      <c r="A822" s="17"/>
      <c r="B822" s="17"/>
    </row>
    <row r="823" spans="1:2" s="24" customFormat="1" x14ac:dyDescent="0.3">
      <c r="A823" s="17"/>
      <c r="B823" s="17"/>
    </row>
    <row r="824" spans="1:2" s="24" customFormat="1" x14ac:dyDescent="0.3">
      <c r="A824" s="17"/>
      <c r="B824" s="17"/>
    </row>
    <row r="825" spans="1:2" s="24" customFormat="1" x14ac:dyDescent="0.3">
      <c r="A825" s="17"/>
      <c r="B825" s="17"/>
    </row>
    <row r="826" spans="1:2" s="24" customFormat="1" x14ac:dyDescent="0.3">
      <c r="A826" s="17"/>
      <c r="B826" s="17"/>
    </row>
    <row r="827" spans="1:2" s="24" customFormat="1" x14ac:dyDescent="0.3">
      <c r="A827" s="17"/>
      <c r="B827" s="17"/>
    </row>
    <row r="828" spans="1:2" s="24" customFormat="1" x14ac:dyDescent="0.3">
      <c r="A828" s="17"/>
      <c r="B828" s="17"/>
    </row>
    <row r="829" spans="1:2" s="24" customFormat="1" x14ac:dyDescent="0.3">
      <c r="A829" s="17"/>
      <c r="B829" s="17"/>
    </row>
    <row r="830" spans="1:2" s="24" customFormat="1" x14ac:dyDescent="0.3">
      <c r="A830" s="17"/>
      <c r="B830" s="17"/>
    </row>
    <row r="831" spans="1:2" s="24" customFormat="1" x14ac:dyDescent="0.3">
      <c r="A831" s="17"/>
      <c r="B831" s="17"/>
    </row>
    <row r="832" spans="1:2" s="24" customFormat="1" x14ac:dyDescent="0.3">
      <c r="A832" s="17"/>
      <c r="B832" s="17"/>
    </row>
    <row r="833" spans="1:2" s="24" customFormat="1" x14ac:dyDescent="0.3">
      <c r="A833" s="17"/>
      <c r="B833" s="17"/>
    </row>
    <row r="834" spans="1:2" s="24" customFormat="1" x14ac:dyDescent="0.3">
      <c r="A834" s="17"/>
      <c r="B834" s="17"/>
    </row>
    <row r="835" spans="1:2" s="24" customFormat="1" x14ac:dyDescent="0.3">
      <c r="A835" s="17"/>
      <c r="B835" s="17"/>
    </row>
    <row r="836" spans="1:2" s="24" customFormat="1" x14ac:dyDescent="0.3">
      <c r="A836" s="17"/>
      <c r="B836" s="17"/>
    </row>
    <row r="837" spans="1:2" s="24" customFormat="1" x14ac:dyDescent="0.3">
      <c r="A837" s="17"/>
      <c r="B837" s="17"/>
    </row>
    <row r="838" spans="1:2" s="24" customFormat="1" x14ac:dyDescent="0.3">
      <c r="A838" s="17"/>
      <c r="B838" s="17"/>
    </row>
    <row r="839" spans="1:2" s="24" customFormat="1" x14ac:dyDescent="0.3">
      <c r="A839" s="17"/>
      <c r="B839" s="17"/>
    </row>
    <row r="840" spans="1:2" s="24" customFormat="1" x14ac:dyDescent="0.3">
      <c r="A840" s="17"/>
      <c r="B840" s="17"/>
    </row>
    <row r="841" spans="1:2" s="24" customFormat="1" x14ac:dyDescent="0.3">
      <c r="A841" s="17"/>
      <c r="B841" s="17"/>
    </row>
    <row r="842" spans="1:2" s="24" customFormat="1" x14ac:dyDescent="0.3">
      <c r="A842" s="17"/>
      <c r="B842" s="17"/>
    </row>
    <row r="843" spans="1:2" s="24" customFormat="1" x14ac:dyDescent="0.3">
      <c r="A843" s="17"/>
      <c r="B843" s="17"/>
    </row>
    <row r="844" spans="1:2" s="24" customFormat="1" x14ac:dyDescent="0.3">
      <c r="A844" s="17"/>
      <c r="B844" s="17"/>
    </row>
    <row r="845" spans="1:2" s="24" customFormat="1" x14ac:dyDescent="0.3">
      <c r="A845" s="17"/>
      <c r="B845" s="17"/>
    </row>
    <row r="846" spans="1:2" s="24" customFormat="1" x14ac:dyDescent="0.3">
      <c r="A846" s="17"/>
      <c r="B846" s="17"/>
    </row>
    <row r="847" spans="1:2" s="24" customFormat="1" x14ac:dyDescent="0.3">
      <c r="A847" s="17"/>
      <c r="B847" s="17"/>
    </row>
    <row r="848" spans="1:2" s="24" customFormat="1" x14ac:dyDescent="0.3">
      <c r="A848" s="17"/>
      <c r="B848" s="17"/>
    </row>
    <row r="849" spans="1:2" s="24" customFormat="1" x14ac:dyDescent="0.3">
      <c r="A849" s="17"/>
      <c r="B849" s="17"/>
    </row>
    <row r="850" spans="1:2" s="24" customFormat="1" x14ac:dyDescent="0.3">
      <c r="A850" s="17"/>
      <c r="B850" s="17"/>
    </row>
    <row r="851" spans="1:2" s="24" customFormat="1" x14ac:dyDescent="0.3">
      <c r="A851" s="17"/>
      <c r="B851" s="17"/>
    </row>
    <row r="852" spans="1:2" s="24" customFormat="1" x14ac:dyDescent="0.3">
      <c r="A852" s="17"/>
      <c r="B852" s="17"/>
    </row>
    <row r="853" spans="1:2" s="24" customFormat="1" x14ac:dyDescent="0.3">
      <c r="A853" s="17"/>
      <c r="B853" s="17"/>
    </row>
    <row r="854" spans="1:2" s="24" customFormat="1" x14ac:dyDescent="0.3">
      <c r="A854" s="17"/>
      <c r="B854" s="17"/>
    </row>
    <row r="855" spans="1:2" s="24" customFormat="1" x14ac:dyDescent="0.3">
      <c r="A855" s="17"/>
      <c r="B855" s="17"/>
    </row>
    <row r="856" spans="1:2" s="24" customFormat="1" x14ac:dyDescent="0.3">
      <c r="A856" s="17"/>
      <c r="B856" s="17"/>
    </row>
    <row r="857" spans="1:2" s="24" customFormat="1" x14ac:dyDescent="0.3">
      <c r="A857" s="17"/>
      <c r="B857" s="17"/>
    </row>
    <row r="858" spans="1:2" s="24" customFormat="1" x14ac:dyDescent="0.3">
      <c r="A858" s="17"/>
      <c r="B858" s="17"/>
    </row>
    <row r="859" spans="1:2" s="24" customFormat="1" x14ac:dyDescent="0.3">
      <c r="A859" s="17"/>
      <c r="B859" s="17"/>
    </row>
    <row r="860" spans="1:2" s="24" customFormat="1" x14ac:dyDescent="0.3">
      <c r="A860" s="17"/>
      <c r="B860" s="17"/>
    </row>
    <row r="861" spans="1:2" s="24" customFormat="1" x14ac:dyDescent="0.3">
      <c r="A861" s="17"/>
      <c r="B861" s="17"/>
    </row>
    <row r="862" spans="1:2" s="24" customFormat="1" x14ac:dyDescent="0.3">
      <c r="A862" s="17"/>
      <c r="B862" s="17"/>
    </row>
    <row r="863" spans="1:2" s="24" customFormat="1" x14ac:dyDescent="0.3">
      <c r="A863" s="17"/>
      <c r="B863" s="17"/>
    </row>
    <row r="864" spans="1:2" s="24" customFormat="1" x14ac:dyDescent="0.3">
      <c r="A864" s="17"/>
      <c r="B864" s="17"/>
    </row>
    <row r="865" spans="1:2" s="24" customFormat="1" x14ac:dyDescent="0.3">
      <c r="A865" s="17"/>
      <c r="B865" s="17"/>
    </row>
    <row r="866" spans="1:2" s="24" customFormat="1" x14ac:dyDescent="0.3">
      <c r="A866" s="17"/>
      <c r="B866" s="17"/>
    </row>
    <row r="867" spans="1:2" s="24" customFormat="1" x14ac:dyDescent="0.3">
      <c r="A867" s="17"/>
      <c r="B867" s="17"/>
    </row>
    <row r="868" spans="1:2" s="24" customFormat="1" x14ac:dyDescent="0.3">
      <c r="A868" s="17"/>
      <c r="B868" s="17"/>
    </row>
    <row r="869" spans="1:2" s="24" customFormat="1" x14ac:dyDescent="0.3">
      <c r="A869" s="17"/>
      <c r="B869" s="17"/>
    </row>
    <row r="870" spans="1:2" s="24" customFormat="1" x14ac:dyDescent="0.3">
      <c r="A870" s="17"/>
      <c r="B870" s="17"/>
    </row>
    <row r="871" spans="1:2" s="24" customFormat="1" x14ac:dyDescent="0.3">
      <c r="A871" s="17"/>
      <c r="B871" s="17"/>
    </row>
    <row r="872" spans="1:2" s="24" customFormat="1" x14ac:dyDescent="0.3">
      <c r="A872" s="17"/>
      <c r="B872" s="17"/>
    </row>
    <row r="873" spans="1:2" s="24" customFormat="1" x14ac:dyDescent="0.3">
      <c r="A873" s="17"/>
      <c r="B873" s="17"/>
    </row>
    <row r="874" spans="1:2" s="24" customFormat="1" x14ac:dyDescent="0.3">
      <c r="A874" s="17"/>
      <c r="B874" s="17"/>
    </row>
    <row r="875" spans="1:2" s="24" customFormat="1" x14ac:dyDescent="0.3">
      <c r="A875" s="17"/>
      <c r="B875" s="17"/>
    </row>
    <row r="876" spans="1:2" s="24" customFormat="1" x14ac:dyDescent="0.3">
      <c r="A876" s="17"/>
      <c r="B876" s="17"/>
    </row>
    <row r="877" spans="1:2" s="24" customFormat="1" x14ac:dyDescent="0.3">
      <c r="A877" s="17"/>
      <c r="B877" s="17"/>
    </row>
    <row r="878" spans="1:2" s="24" customFormat="1" x14ac:dyDescent="0.3">
      <c r="A878" s="17"/>
      <c r="B878" s="17"/>
    </row>
    <row r="879" spans="1:2" s="24" customFormat="1" x14ac:dyDescent="0.3">
      <c r="A879" s="17"/>
      <c r="B879" s="17"/>
    </row>
    <row r="880" spans="1:2" s="24" customFormat="1" x14ac:dyDescent="0.3">
      <c r="A880" s="17"/>
      <c r="B880" s="17"/>
    </row>
    <row r="881" spans="1:2" s="24" customFormat="1" x14ac:dyDescent="0.3">
      <c r="A881" s="17"/>
      <c r="B881" s="17"/>
    </row>
    <row r="882" spans="1:2" s="24" customFormat="1" x14ac:dyDescent="0.3">
      <c r="A882" s="17"/>
      <c r="B882" s="17"/>
    </row>
    <row r="883" spans="1:2" s="24" customFormat="1" x14ac:dyDescent="0.3">
      <c r="A883" s="17"/>
      <c r="B883" s="17"/>
    </row>
    <row r="884" spans="1:2" s="24" customFormat="1" x14ac:dyDescent="0.3">
      <c r="A884" s="17"/>
      <c r="B884" s="17"/>
    </row>
    <row r="885" spans="1:2" s="24" customFormat="1" x14ac:dyDescent="0.3">
      <c r="A885" s="17"/>
      <c r="B885" s="17"/>
    </row>
    <row r="886" spans="1:2" s="24" customFormat="1" x14ac:dyDescent="0.3">
      <c r="A886" s="17"/>
      <c r="B886" s="17"/>
    </row>
    <row r="887" spans="1:2" s="24" customFormat="1" x14ac:dyDescent="0.3">
      <c r="A887" s="17"/>
      <c r="B887" s="17"/>
    </row>
    <row r="888" spans="1:2" s="24" customFormat="1" x14ac:dyDescent="0.3">
      <c r="A888" s="17"/>
      <c r="B888" s="17"/>
    </row>
    <row r="889" spans="1:2" s="24" customFormat="1" x14ac:dyDescent="0.3">
      <c r="A889" s="17"/>
      <c r="B889" s="17"/>
    </row>
    <row r="890" spans="1:2" s="24" customFormat="1" x14ac:dyDescent="0.3">
      <c r="A890" s="17"/>
      <c r="B890" s="17"/>
    </row>
    <row r="891" spans="1:2" s="24" customFormat="1" x14ac:dyDescent="0.3">
      <c r="A891" s="17"/>
      <c r="B891" s="17"/>
    </row>
    <row r="892" spans="1:2" s="24" customFormat="1" x14ac:dyDescent="0.3">
      <c r="A892" s="17"/>
      <c r="B892" s="17"/>
    </row>
    <row r="893" spans="1:2" s="24" customFormat="1" x14ac:dyDescent="0.3">
      <c r="A893" s="17"/>
      <c r="B893" s="17"/>
    </row>
    <row r="894" spans="1:2" s="24" customFormat="1" x14ac:dyDescent="0.3">
      <c r="A894" s="17"/>
      <c r="B894" s="17"/>
    </row>
    <row r="895" spans="1:2" s="24" customFormat="1" x14ac:dyDescent="0.3">
      <c r="A895" s="17"/>
      <c r="B895" s="17"/>
    </row>
    <row r="896" spans="1:2" s="24" customFormat="1" x14ac:dyDescent="0.3">
      <c r="A896" s="17"/>
      <c r="B896" s="17"/>
    </row>
    <row r="897" spans="1:2" s="24" customFormat="1" x14ac:dyDescent="0.3">
      <c r="A897" s="17"/>
      <c r="B897" s="17"/>
    </row>
    <row r="898" spans="1:2" s="24" customFormat="1" x14ac:dyDescent="0.3">
      <c r="A898" s="17"/>
      <c r="B898" s="17"/>
    </row>
    <row r="899" spans="1:2" s="24" customFormat="1" x14ac:dyDescent="0.3">
      <c r="A899" s="17"/>
      <c r="B899" s="17"/>
    </row>
    <row r="900" spans="1:2" s="24" customFormat="1" x14ac:dyDescent="0.3">
      <c r="A900" s="17"/>
      <c r="B900" s="17"/>
    </row>
    <row r="901" spans="1:2" s="24" customFormat="1" x14ac:dyDescent="0.3">
      <c r="A901" s="17"/>
      <c r="B901" s="17"/>
    </row>
    <row r="902" spans="1:2" s="24" customFormat="1" x14ac:dyDescent="0.3">
      <c r="A902" s="17"/>
      <c r="B902" s="17"/>
    </row>
    <row r="903" spans="1:2" s="24" customFormat="1" x14ac:dyDescent="0.3">
      <c r="A903" s="17"/>
      <c r="B903" s="17"/>
    </row>
    <row r="904" spans="1:2" s="24" customFormat="1" x14ac:dyDescent="0.3">
      <c r="A904" s="17"/>
      <c r="B904" s="17"/>
    </row>
    <row r="905" spans="1:2" s="24" customFormat="1" x14ac:dyDescent="0.3">
      <c r="A905" s="17"/>
      <c r="B905" s="17"/>
    </row>
    <row r="906" spans="1:2" s="24" customFormat="1" x14ac:dyDescent="0.3">
      <c r="A906" s="17"/>
      <c r="B906" s="17"/>
    </row>
    <row r="907" spans="1:2" s="24" customFormat="1" x14ac:dyDescent="0.3">
      <c r="A907" s="17"/>
      <c r="B907" s="17"/>
    </row>
    <row r="908" spans="1:2" s="24" customFormat="1" x14ac:dyDescent="0.3">
      <c r="A908" s="17"/>
      <c r="B908" s="17"/>
    </row>
    <row r="909" spans="1:2" s="24" customFormat="1" x14ac:dyDescent="0.3">
      <c r="A909" s="17"/>
      <c r="B909" s="17"/>
    </row>
    <row r="910" spans="1:2" s="24" customFormat="1" x14ac:dyDescent="0.3">
      <c r="A910" s="17"/>
      <c r="B910" s="17"/>
    </row>
    <row r="911" spans="1:2" s="24" customFormat="1" x14ac:dyDescent="0.3">
      <c r="A911" s="17"/>
      <c r="B911" s="17"/>
    </row>
    <row r="912" spans="1:2" s="24" customFormat="1" x14ac:dyDescent="0.3">
      <c r="A912" s="17"/>
      <c r="B912" s="17"/>
    </row>
    <row r="913" spans="1:2" s="24" customFormat="1" x14ac:dyDescent="0.3">
      <c r="A913" s="17"/>
      <c r="B913" s="17"/>
    </row>
    <row r="914" spans="1:2" s="24" customFormat="1" x14ac:dyDescent="0.3">
      <c r="A914" s="17"/>
      <c r="B914" s="17"/>
    </row>
    <row r="915" spans="1:2" s="24" customFormat="1" x14ac:dyDescent="0.3">
      <c r="A915" s="17"/>
      <c r="B915" s="17"/>
    </row>
    <row r="916" spans="1:2" s="24" customFormat="1" x14ac:dyDescent="0.3">
      <c r="A916" s="17"/>
      <c r="B916" s="17"/>
    </row>
    <row r="917" spans="1:2" s="24" customFormat="1" x14ac:dyDescent="0.3">
      <c r="A917" s="17"/>
      <c r="B917" s="17"/>
    </row>
    <row r="918" spans="1:2" s="24" customFormat="1" x14ac:dyDescent="0.3">
      <c r="A918" s="17"/>
      <c r="B918" s="17"/>
    </row>
    <row r="919" spans="1:2" s="24" customFormat="1" x14ac:dyDescent="0.3">
      <c r="A919" s="17"/>
      <c r="B919" s="17"/>
    </row>
    <row r="920" spans="1:2" s="24" customFormat="1" x14ac:dyDescent="0.3">
      <c r="A920" s="17"/>
      <c r="B920" s="17"/>
    </row>
    <row r="921" spans="1:2" s="24" customFormat="1" x14ac:dyDescent="0.3">
      <c r="A921" s="17"/>
      <c r="B921" s="17"/>
    </row>
    <row r="922" spans="1:2" s="24" customFormat="1" x14ac:dyDescent="0.3">
      <c r="A922" s="17"/>
      <c r="B922" s="17"/>
    </row>
    <row r="923" spans="1:2" s="24" customFormat="1" x14ac:dyDescent="0.3">
      <c r="A923" s="17"/>
      <c r="B923" s="17"/>
    </row>
    <row r="924" spans="1:2" s="24" customFormat="1" x14ac:dyDescent="0.3">
      <c r="A924" s="17"/>
      <c r="B924" s="17"/>
    </row>
    <row r="925" spans="1:2" s="24" customFormat="1" x14ac:dyDescent="0.3">
      <c r="A925" s="17"/>
      <c r="B925" s="17"/>
    </row>
    <row r="926" spans="1:2" s="24" customFormat="1" x14ac:dyDescent="0.3">
      <c r="A926" s="17"/>
      <c r="B926" s="17"/>
    </row>
    <row r="927" spans="1:2" s="24" customFormat="1" x14ac:dyDescent="0.3">
      <c r="A927" s="17"/>
      <c r="B927" s="17"/>
    </row>
    <row r="928" spans="1:2" s="24" customFormat="1" x14ac:dyDescent="0.3">
      <c r="A928" s="17"/>
      <c r="B928" s="17"/>
    </row>
    <row r="929" spans="1:2" s="24" customFormat="1" x14ac:dyDescent="0.3">
      <c r="A929" s="17"/>
      <c r="B929" s="17"/>
    </row>
    <row r="930" spans="1:2" s="24" customFormat="1" x14ac:dyDescent="0.3">
      <c r="A930" s="17"/>
      <c r="B930" s="17"/>
    </row>
    <row r="931" spans="1:2" s="24" customFormat="1" x14ac:dyDescent="0.3">
      <c r="A931" s="17"/>
      <c r="B931" s="17"/>
    </row>
    <row r="932" spans="1:2" s="24" customFormat="1" x14ac:dyDescent="0.3">
      <c r="A932" s="17"/>
      <c r="B932" s="17"/>
    </row>
    <row r="933" spans="1:2" s="24" customFormat="1" x14ac:dyDescent="0.3">
      <c r="A933" s="17"/>
      <c r="B933" s="17"/>
    </row>
    <row r="934" spans="1:2" s="24" customFormat="1" x14ac:dyDescent="0.3">
      <c r="A934" s="17"/>
      <c r="B934" s="17"/>
    </row>
    <row r="935" spans="1:2" s="24" customFormat="1" x14ac:dyDescent="0.3">
      <c r="A935" s="17"/>
      <c r="B935" s="17"/>
    </row>
    <row r="936" spans="1:2" s="24" customFormat="1" x14ac:dyDescent="0.3">
      <c r="A936" s="17"/>
      <c r="B936" s="17"/>
    </row>
    <row r="937" spans="1:2" s="24" customFormat="1" x14ac:dyDescent="0.3">
      <c r="A937" s="17"/>
      <c r="B937" s="17"/>
    </row>
    <row r="938" spans="1:2" s="24" customFormat="1" x14ac:dyDescent="0.3">
      <c r="A938" s="17"/>
      <c r="B938" s="17"/>
    </row>
    <row r="939" spans="1:2" s="24" customFormat="1" x14ac:dyDescent="0.3">
      <c r="A939" s="17"/>
      <c r="B939" s="17"/>
    </row>
    <row r="940" spans="1:2" s="24" customFormat="1" x14ac:dyDescent="0.3">
      <c r="A940" s="17"/>
      <c r="B940" s="17"/>
    </row>
    <row r="941" spans="1:2" s="24" customFormat="1" x14ac:dyDescent="0.3">
      <c r="A941" s="17"/>
      <c r="B941" s="17"/>
    </row>
    <row r="942" spans="1:2" s="24" customFormat="1" x14ac:dyDescent="0.3">
      <c r="A942" s="17"/>
      <c r="B942" s="17"/>
    </row>
    <row r="943" spans="1:2" s="24" customFormat="1" x14ac:dyDescent="0.3">
      <c r="A943" s="17"/>
      <c r="B943" s="17"/>
    </row>
    <row r="944" spans="1:2" s="24" customFormat="1" x14ac:dyDescent="0.3">
      <c r="A944" s="17"/>
      <c r="B944" s="17"/>
    </row>
    <row r="945" spans="1:2" s="24" customFormat="1" x14ac:dyDescent="0.3">
      <c r="A945" s="17"/>
      <c r="B945" s="17"/>
    </row>
    <row r="946" spans="1:2" s="24" customFormat="1" x14ac:dyDescent="0.3">
      <c r="A946" s="17"/>
      <c r="B946" s="17"/>
    </row>
    <row r="947" spans="1:2" s="24" customFormat="1" x14ac:dyDescent="0.3">
      <c r="A947" s="17"/>
      <c r="B947" s="17"/>
    </row>
    <row r="948" spans="1:2" s="24" customFormat="1" x14ac:dyDescent="0.3">
      <c r="A948" s="17"/>
      <c r="B948" s="17"/>
    </row>
    <row r="949" spans="1:2" s="24" customFormat="1" x14ac:dyDescent="0.3">
      <c r="A949" s="17"/>
      <c r="B949" s="17"/>
    </row>
    <row r="950" spans="1:2" s="24" customFormat="1" x14ac:dyDescent="0.3">
      <c r="A950" s="17"/>
      <c r="B950" s="17"/>
    </row>
    <row r="951" spans="1:2" s="24" customFormat="1" x14ac:dyDescent="0.3">
      <c r="A951" s="17"/>
      <c r="B951" s="17"/>
    </row>
    <row r="952" spans="1:2" s="24" customFormat="1" x14ac:dyDescent="0.3">
      <c r="A952" s="17"/>
      <c r="B952" s="17"/>
    </row>
    <row r="953" spans="1:2" s="24" customFormat="1" x14ac:dyDescent="0.3">
      <c r="A953" s="17"/>
      <c r="B953" s="17"/>
    </row>
    <row r="954" spans="1:2" s="24" customFormat="1" x14ac:dyDescent="0.3">
      <c r="A954" s="17"/>
      <c r="B954" s="17"/>
    </row>
    <row r="955" spans="1:2" s="24" customFormat="1" x14ac:dyDescent="0.3">
      <c r="A955" s="17"/>
      <c r="B955" s="17"/>
    </row>
    <row r="956" spans="1:2" s="24" customFormat="1" x14ac:dyDescent="0.3">
      <c r="A956" s="17"/>
      <c r="B956" s="17"/>
    </row>
    <row r="957" spans="1:2" s="24" customFormat="1" x14ac:dyDescent="0.3">
      <c r="A957" s="17"/>
      <c r="B957" s="17"/>
    </row>
    <row r="958" spans="1:2" s="24" customFormat="1" x14ac:dyDescent="0.3">
      <c r="A958" s="17"/>
      <c r="B958" s="17"/>
    </row>
    <row r="959" spans="1:2" s="24" customFormat="1" x14ac:dyDescent="0.3">
      <c r="A959" s="17"/>
      <c r="B959" s="17"/>
    </row>
    <row r="960" spans="1:2" s="24" customFormat="1" x14ac:dyDescent="0.3">
      <c r="A960" s="17"/>
      <c r="B960" s="17"/>
    </row>
    <row r="961" spans="1:2" s="24" customFormat="1" x14ac:dyDescent="0.3">
      <c r="A961" s="17"/>
      <c r="B961" s="17"/>
    </row>
    <row r="962" spans="1:2" s="24" customFormat="1" x14ac:dyDescent="0.3">
      <c r="A962" s="17"/>
      <c r="B962" s="17"/>
    </row>
    <row r="963" spans="1:2" s="24" customFormat="1" x14ac:dyDescent="0.3">
      <c r="A963" s="17"/>
      <c r="B963" s="17"/>
    </row>
    <row r="964" spans="1:2" s="24" customFormat="1" x14ac:dyDescent="0.3">
      <c r="A964" s="17"/>
      <c r="B964" s="17"/>
    </row>
    <row r="965" spans="1:2" s="24" customFormat="1" x14ac:dyDescent="0.3">
      <c r="A965" s="17"/>
      <c r="B965" s="17"/>
    </row>
    <row r="966" spans="1:2" s="24" customFormat="1" x14ac:dyDescent="0.3">
      <c r="A966" s="17"/>
      <c r="B966" s="17"/>
    </row>
    <row r="967" spans="1:2" s="24" customFormat="1" x14ac:dyDescent="0.3">
      <c r="A967" s="17"/>
      <c r="B967" s="17"/>
    </row>
    <row r="968" spans="1:2" s="24" customFormat="1" x14ac:dyDescent="0.3">
      <c r="A968" s="17"/>
      <c r="B968" s="17"/>
    </row>
    <row r="969" spans="1:2" s="24" customFormat="1" x14ac:dyDescent="0.3">
      <c r="A969" s="17"/>
      <c r="B969" s="17"/>
    </row>
    <row r="970" spans="1:2" s="24" customFormat="1" x14ac:dyDescent="0.3">
      <c r="A970" s="17"/>
      <c r="B970" s="17"/>
    </row>
    <row r="971" spans="1:2" s="24" customFormat="1" x14ac:dyDescent="0.3">
      <c r="A971" s="17"/>
      <c r="B971" s="17"/>
    </row>
    <row r="972" spans="1:2" s="24" customFormat="1" x14ac:dyDescent="0.3">
      <c r="A972" s="17"/>
      <c r="B972" s="17"/>
    </row>
    <row r="973" spans="1:2" s="24" customFormat="1" x14ac:dyDescent="0.3">
      <c r="A973" s="17"/>
      <c r="B973" s="17"/>
    </row>
    <row r="974" spans="1:2" s="24" customFormat="1" x14ac:dyDescent="0.3">
      <c r="A974" s="17"/>
      <c r="B974" s="17"/>
    </row>
    <row r="975" spans="1:2" s="24" customFormat="1" x14ac:dyDescent="0.3">
      <c r="A975" s="17"/>
      <c r="B975" s="17"/>
    </row>
    <row r="976" spans="1:2" s="24" customFormat="1" x14ac:dyDescent="0.3">
      <c r="A976" s="17"/>
      <c r="B976" s="17"/>
    </row>
    <row r="977" spans="1:2" s="24" customFormat="1" x14ac:dyDescent="0.3">
      <c r="A977" s="17"/>
      <c r="B977" s="17"/>
    </row>
    <row r="978" spans="1:2" s="24" customFormat="1" x14ac:dyDescent="0.3">
      <c r="A978" s="17"/>
      <c r="B978" s="17"/>
    </row>
    <row r="979" spans="1:2" s="24" customFormat="1" x14ac:dyDescent="0.3">
      <c r="A979" s="17"/>
      <c r="B979" s="17"/>
    </row>
    <row r="980" spans="1:2" s="24" customFormat="1" x14ac:dyDescent="0.3">
      <c r="A980" s="17"/>
      <c r="B980" s="17"/>
    </row>
    <row r="981" spans="1:2" s="24" customFormat="1" x14ac:dyDescent="0.3">
      <c r="A981" s="17"/>
      <c r="B981" s="17"/>
    </row>
    <row r="982" spans="1:2" s="24" customFormat="1" x14ac:dyDescent="0.3">
      <c r="A982" s="17"/>
      <c r="B982" s="17"/>
    </row>
    <row r="983" spans="1:2" s="24" customFormat="1" x14ac:dyDescent="0.3">
      <c r="A983" s="17"/>
      <c r="B983" s="17"/>
    </row>
    <row r="984" spans="1:2" s="24" customFormat="1" x14ac:dyDescent="0.3">
      <c r="A984" s="17"/>
      <c r="B984" s="17"/>
    </row>
    <row r="985" spans="1:2" s="24" customFormat="1" x14ac:dyDescent="0.3">
      <c r="A985" s="17"/>
      <c r="B985" s="17"/>
    </row>
    <row r="986" spans="1:2" s="24" customFormat="1" x14ac:dyDescent="0.3">
      <c r="A986" s="17"/>
      <c r="B986" s="17"/>
    </row>
    <row r="987" spans="1:2" s="24" customFormat="1" x14ac:dyDescent="0.3">
      <c r="A987" s="17"/>
      <c r="B987" s="17"/>
    </row>
    <row r="988" spans="1:2" s="24" customFormat="1" x14ac:dyDescent="0.3">
      <c r="A988" s="17"/>
      <c r="B988" s="17"/>
    </row>
    <row r="989" spans="1:2" s="24" customFormat="1" x14ac:dyDescent="0.3">
      <c r="A989" s="17"/>
      <c r="B989" s="17"/>
    </row>
    <row r="990" spans="1:2" s="24" customFormat="1" x14ac:dyDescent="0.3">
      <c r="A990" s="17"/>
      <c r="B990" s="17"/>
    </row>
    <row r="991" spans="1:2" s="24" customFormat="1" x14ac:dyDescent="0.3">
      <c r="A991" s="17"/>
      <c r="B991" s="17"/>
    </row>
    <row r="992" spans="1:2" s="24" customFormat="1" x14ac:dyDescent="0.3">
      <c r="A992" s="17"/>
      <c r="B992" s="17"/>
    </row>
    <row r="993" spans="1:2" s="24" customFormat="1" x14ac:dyDescent="0.3">
      <c r="A993" s="17"/>
      <c r="B993" s="17"/>
    </row>
    <row r="994" spans="1:2" s="24" customFormat="1" x14ac:dyDescent="0.3">
      <c r="A994" s="17"/>
      <c r="B994" s="17"/>
    </row>
    <row r="995" spans="1:2" s="24" customFormat="1" x14ac:dyDescent="0.3">
      <c r="A995" s="17"/>
      <c r="B995" s="17"/>
    </row>
    <row r="996" spans="1:2" s="24" customFormat="1" x14ac:dyDescent="0.3">
      <c r="A996" s="17"/>
      <c r="B996" s="17"/>
    </row>
    <row r="997" spans="1:2" s="24" customFormat="1" x14ac:dyDescent="0.3">
      <c r="A997" s="17"/>
      <c r="B997" s="17"/>
    </row>
    <row r="998" spans="1:2" s="24" customFormat="1" x14ac:dyDescent="0.3">
      <c r="A998" s="17"/>
      <c r="B998" s="17"/>
    </row>
    <row r="999" spans="1:2" s="24" customFormat="1" x14ac:dyDescent="0.3">
      <c r="A999" s="17"/>
      <c r="B999" s="17"/>
    </row>
    <row r="1000" spans="1:2" s="24" customFormat="1" x14ac:dyDescent="0.3">
      <c r="A1000" s="17"/>
      <c r="B1000" s="17"/>
    </row>
    <row r="1001" spans="1:2" s="24" customFormat="1" x14ac:dyDescent="0.3">
      <c r="A1001" s="17"/>
      <c r="B1001" s="17"/>
    </row>
    <row r="1002" spans="1:2" s="24" customFormat="1" x14ac:dyDescent="0.3">
      <c r="A1002" s="17"/>
      <c r="B1002" s="17"/>
    </row>
    <row r="1003" spans="1:2" s="24" customFormat="1" x14ac:dyDescent="0.3">
      <c r="A1003" s="17"/>
      <c r="B1003" s="17"/>
    </row>
    <row r="1004" spans="1:2" s="24" customFormat="1" x14ac:dyDescent="0.3">
      <c r="A1004" s="17"/>
      <c r="B1004" s="17"/>
    </row>
    <row r="1005" spans="1:2" s="24" customFormat="1" x14ac:dyDescent="0.3">
      <c r="A1005" s="17"/>
      <c r="B1005" s="17"/>
    </row>
    <row r="1006" spans="1:2" s="24" customFormat="1" x14ac:dyDescent="0.3">
      <c r="A1006" s="17"/>
      <c r="B1006" s="17"/>
    </row>
    <row r="1007" spans="1:2" s="24" customFormat="1" x14ac:dyDescent="0.3">
      <c r="A1007" s="17"/>
      <c r="B1007" s="17"/>
    </row>
    <row r="1008" spans="1:2" s="24" customFormat="1" x14ac:dyDescent="0.3">
      <c r="A1008" s="17"/>
      <c r="B1008" s="17"/>
    </row>
    <row r="1009" spans="1:2" s="24" customFormat="1" x14ac:dyDescent="0.3">
      <c r="A1009" s="17"/>
      <c r="B1009" s="17"/>
    </row>
    <row r="1010" spans="1:2" s="24" customFormat="1" x14ac:dyDescent="0.3">
      <c r="A1010" s="17"/>
      <c r="B1010" s="17"/>
    </row>
    <row r="1011" spans="1:2" s="24" customFormat="1" x14ac:dyDescent="0.3">
      <c r="A1011" s="17"/>
      <c r="B1011" s="17"/>
    </row>
    <row r="1012" spans="1:2" s="24" customFormat="1" x14ac:dyDescent="0.3">
      <c r="A1012" s="17"/>
      <c r="B1012" s="17"/>
    </row>
    <row r="1013" spans="1:2" s="24" customFormat="1" x14ac:dyDescent="0.3">
      <c r="A1013" s="17"/>
      <c r="B1013" s="17"/>
    </row>
    <row r="1014" spans="1:2" s="24" customFormat="1" x14ac:dyDescent="0.3">
      <c r="A1014" s="17"/>
      <c r="B1014" s="17"/>
    </row>
    <row r="1015" spans="1:2" s="24" customFormat="1" x14ac:dyDescent="0.3">
      <c r="A1015" s="17"/>
      <c r="B1015" s="17"/>
    </row>
    <row r="1016" spans="1:2" s="24" customFormat="1" x14ac:dyDescent="0.3">
      <c r="A1016" s="17"/>
      <c r="B1016" s="17"/>
    </row>
    <row r="1017" spans="1:2" s="24" customFormat="1" x14ac:dyDescent="0.3">
      <c r="A1017" s="17"/>
      <c r="B1017" s="17"/>
    </row>
    <row r="1018" spans="1:2" s="24" customFormat="1" x14ac:dyDescent="0.3">
      <c r="A1018" s="17"/>
      <c r="B1018" s="17"/>
    </row>
    <row r="1019" spans="1:2" s="24" customFormat="1" x14ac:dyDescent="0.3">
      <c r="A1019" s="17"/>
      <c r="B1019" s="17"/>
    </row>
    <row r="1020" spans="1:2" s="24" customFormat="1" x14ac:dyDescent="0.3">
      <c r="A1020" s="17"/>
      <c r="B1020" s="17"/>
    </row>
    <row r="1021" spans="1:2" s="24" customFormat="1" x14ac:dyDescent="0.3">
      <c r="A1021" s="17"/>
      <c r="B1021" s="17"/>
    </row>
    <row r="1022" spans="1:2" s="24" customFormat="1" x14ac:dyDescent="0.3">
      <c r="A1022" s="17"/>
      <c r="B1022" s="17"/>
    </row>
    <row r="1023" spans="1:2" s="24" customFormat="1" x14ac:dyDescent="0.3">
      <c r="A1023" s="17"/>
      <c r="B1023" s="17"/>
    </row>
    <row r="1024" spans="1:2" s="24" customFormat="1" x14ac:dyDescent="0.3">
      <c r="A1024" s="17"/>
      <c r="B1024" s="17"/>
    </row>
    <row r="1025" spans="1:2" s="24" customFormat="1" x14ac:dyDescent="0.3">
      <c r="A1025" s="17"/>
      <c r="B1025" s="17"/>
    </row>
    <row r="1026" spans="1:2" s="24" customFormat="1" x14ac:dyDescent="0.3">
      <c r="A1026" s="17"/>
      <c r="B1026" s="17"/>
    </row>
    <row r="1027" spans="1:2" s="24" customFormat="1" x14ac:dyDescent="0.3">
      <c r="A1027" s="17"/>
      <c r="B1027" s="17"/>
    </row>
    <row r="1028" spans="1:2" s="24" customFormat="1" x14ac:dyDescent="0.3">
      <c r="A1028" s="17"/>
      <c r="B1028" s="17"/>
    </row>
    <row r="1029" spans="1:2" s="24" customFormat="1" x14ac:dyDescent="0.3">
      <c r="A1029" s="17"/>
      <c r="B1029" s="17"/>
    </row>
    <row r="1030" spans="1:2" s="24" customFormat="1" x14ac:dyDescent="0.3">
      <c r="A1030" s="17"/>
      <c r="B1030" s="17"/>
    </row>
    <row r="1031" spans="1:2" s="24" customFormat="1" x14ac:dyDescent="0.3">
      <c r="A1031" s="17"/>
      <c r="B1031" s="17"/>
    </row>
    <row r="1032" spans="1:2" s="24" customFormat="1" x14ac:dyDescent="0.3">
      <c r="A1032" s="17"/>
      <c r="B1032" s="17"/>
    </row>
    <row r="1033" spans="1:2" s="24" customFormat="1" x14ac:dyDescent="0.3">
      <c r="A1033" s="17"/>
      <c r="B1033" s="17"/>
    </row>
    <row r="1034" spans="1:2" s="24" customFormat="1" x14ac:dyDescent="0.3">
      <c r="A1034" s="17"/>
      <c r="B1034" s="17"/>
    </row>
    <row r="1035" spans="1:2" s="24" customFormat="1" x14ac:dyDescent="0.3">
      <c r="A1035" s="17"/>
      <c r="B1035" s="17"/>
    </row>
    <row r="1036" spans="1:2" s="24" customFormat="1" x14ac:dyDescent="0.3">
      <c r="A1036" s="17"/>
      <c r="B1036" s="17"/>
    </row>
    <row r="1037" spans="1:2" s="24" customFormat="1" x14ac:dyDescent="0.3">
      <c r="A1037" s="17"/>
      <c r="B1037" s="17"/>
    </row>
    <row r="1038" spans="1:2" s="24" customFormat="1" x14ac:dyDescent="0.3">
      <c r="A1038" s="17"/>
      <c r="B1038" s="17"/>
    </row>
    <row r="1039" spans="1:2" s="24" customFormat="1" x14ac:dyDescent="0.3">
      <c r="A1039" s="17"/>
      <c r="B1039" s="17"/>
    </row>
    <row r="1040" spans="1:2" s="24" customFormat="1" x14ac:dyDescent="0.3">
      <c r="A1040" s="17"/>
      <c r="B1040" s="17"/>
    </row>
    <row r="1041" spans="1:2" s="24" customFormat="1" x14ac:dyDescent="0.3">
      <c r="A1041" s="17"/>
      <c r="B1041" s="17"/>
    </row>
    <row r="1042" spans="1:2" s="24" customFormat="1" x14ac:dyDescent="0.3">
      <c r="A1042" s="17"/>
      <c r="B1042" s="17"/>
    </row>
    <row r="1043" spans="1:2" s="24" customFormat="1" x14ac:dyDescent="0.3">
      <c r="A1043" s="17"/>
      <c r="B1043" s="17"/>
    </row>
    <row r="1044" spans="1:2" s="24" customFormat="1" x14ac:dyDescent="0.3">
      <c r="A1044" s="17"/>
      <c r="B1044" s="17"/>
    </row>
    <row r="1045" spans="1:2" s="24" customFormat="1" x14ac:dyDescent="0.3">
      <c r="A1045" s="17"/>
      <c r="B1045" s="17"/>
    </row>
    <row r="1046" spans="1:2" s="24" customFormat="1" x14ac:dyDescent="0.3">
      <c r="A1046" s="17"/>
      <c r="B1046" s="17"/>
    </row>
    <row r="1047" spans="1:2" s="24" customFormat="1" x14ac:dyDescent="0.3">
      <c r="A1047" s="17"/>
      <c r="B1047" s="17"/>
    </row>
    <row r="1048" spans="1:2" s="24" customFormat="1" x14ac:dyDescent="0.3">
      <c r="A1048" s="17"/>
      <c r="B1048" s="17"/>
    </row>
    <row r="1049" spans="1:2" s="24" customFormat="1" x14ac:dyDescent="0.3">
      <c r="A1049" s="17"/>
      <c r="B1049" s="17"/>
    </row>
    <row r="1050" spans="1:2" s="24" customFormat="1" x14ac:dyDescent="0.3">
      <c r="A1050" s="17"/>
      <c r="B1050" s="17"/>
    </row>
    <row r="1051" spans="1:2" s="24" customFormat="1" x14ac:dyDescent="0.3">
      <c r="A1051" s="17"/>
      <c r="B1051" s="17"/>
    </row>
    <row r="1052" spans="1:2" s="24" customFormat="1" x14ac:dyDescent="0.3">
      <c r="A1052" s="17"/>
      <c r="B1052" s="17"/>
    </row>
    <row r="1053" spans="1:2" s="24" customFormat="1" x14ac:dyDescent="0.3">
      <c r="A1053" s="17"/>
      <c r="B1053" s="17"/>
    </row>
    <row r="1054" spans="1:2" s="24" customFormat="1" x14ac:dyDescent="0.3">
      <c r="A1054" s="17"/>
      <c r="B1054" s="17"/>
    </row>
    <row r="1055" spans="1:2" s="24" customFormat="1" x14ac:dyDescent="0.3">
      <c r="A1055" s="17"/>
      <c r="B1055" s="17"/>
    </row>
    <row r="1056" spans="1:2" s="24" customFormat="1" x14ac:dyDescent="0.3">
      <c r="A1056" s="17"/>
      <c r="B1056" s="17"/>
    </row>
    <row r="1057" spans="1:2" s="24" customFormat="1" x14ac:dyDescent="0.3">
      <c r="A1057" s="17"/>
      <c r="B1057" s="17"/>
    </row>
    <row r="1058" spans="1:2" s="24" customFormat="1" x14ac:dyDescent="0.3">
      <c r="A1058" s="17"/>
      <c r="B1058" s="17"/>
    </row>
    <row r="1059" spans="1:2" s="24" customFormat="1" x14ac:dyDescent="0.3">
      <c r="A1059" s="17"/>
      <c r="B1059" s="17"/>
    </row>
    <row r="1060" spans="1:2" s="24" customFormat="1" x14ac:dyDescent="0.3">
      <c r="A1060" s="17"/>
      <c r="B1060" s="17"/>
    </row>
    <row r="1061" spans="1:2" s="24" customFormat="1" x14ac:dyDescent="0.3">
      <c r="A1061" s="17"/>
      <c r="B1061" s="17"/>
    </row>
    <row r="1062" spans="1:2" s="24" customFormat="1" x14ac:dyDescent="0.3">
      <c r="A1062" s="17"/>
      <c r="B1062" s="17"/>
    </row>
    <row r="1063" spans="1:2" s="24" customFormat="1" x14ac:dyDescent="0.3">
      <c r="A1063" s="17"/>
      <c r="B1063" s="17"/>
    </row>
    <row r="1064" spans="1:2" s="24" customFormat="1" x14ac:dyDescent="0.3">
      <c r="A1064" s="17"/>
      <c r="B1064" s="17"/>
    </row>
    <row r="1065" spans="1:2" s="24" customFormat="1" x14ac:dyDescent="0.3">
      <c r="A1065" s="17"/>
      <c r="B1065" s="17"/>
    </row>
    <row r="1066" spans="1:2" s="24" customFormat="1" x14ac:dyDescent="0.3">
      <c r="A1066" s="17"/>
      <c r="B1066" s="17"/>
    </row>
    <row r="1067" spans="1:2" s="24" customFormat="1" x14ac:dyDescent="0.3">
      <c r="A1067" s="17"/>
      <c r="B1067" s="17"/>
    </row>
    <row r="1068" spans="1:2" s="24" customFormat="1" x14ac:dyDescent="0.3">
      <c r="A1068" s="17"/>
      <c r="B1068" s="17"/>
    </row>
    <row r="1069" spans="1:2" s="24" customFormat="1" x14ac:dyDescent="0.3">
      <c r="A1069" s="17"/>
      <c r="B1069" s="17"/>
    </row>
    <row r="1070" spans="1:2" s="24" customFormat="1" x14ac:dyDescent="0.3">
      <c r="A1070" s="17"/>
      <c r="B1070" s="17"/>
    </row>
    <row r="1071" spans="1:2" s="24" customFormat="1" x14ac:dyDescent="0.3">
      <c r="A1071" s="17"/>
      <c r="B1071" s="17"/>
    </row>
    <row r="1072" spans="1:2" s="24" customFormat="1" x14ac:dyDescent="0.3">
      <c r="A1072" s="17"/>
      <c r="B1072" s="17"/>
    </row>
    <row r="1073" spans="1:2" s="24" customFormat="1" x14ac:dyDescent="0.3">
      <c r="A1073" s="17"/>
      <c r="B1073" s="17"/>
    </row>
    <row r="1074" spans="1:2" s="24" customFormat="1" x14ac:dyDescent="0.3">
      <c r="A1074" s="17"/>
      <c r="B1074" s="17"/>
    </row>
    <row r="1075" spans="1:2" s="24" customFormat="1" x14ac:dyDescent="0.3">
      <c r="A1075" s="17"/>
      <c r="B1075" s="17"/>
    </row>
    <row r="1076" spans="1:2" s="24" customFormat="1" x14ac:dyDescent="0.3">
      <c r="A1076" s="17"/>
      <c r="B1076" s="17"/>
    </row>
    <row r="1077" spans="1:2" s="24" customFormat="1" x14ac:dyDescent="0.3">
      <c r="A1077" s="17"/>
      <c r="B1077" s="17"/>
    </row>
    <row r="1078" spans="1:2" s="24" customFormat="1" x14ac:dyDescent="0.3">
      <c r="A1078" s="17"/>
      <c r="B1078" s="17"/>
    </row>
    <row r="1079" spans="1:2" s="24" customFormat="1" x14ac:dyDescent="0.3">
      <c r="A1079" s="17"/>
      <c r="B1079" s="17"/>
    </row>
    <row r="1080" spans="1:2" s="24" customFormat="1" x14ac:dyDescent="0.3">
      <c r="A1080" s="17"/>
      <c r="B1080" s="17"/>
    </row>
    <row r="1081" spans="1:2" s="24" customFormat="1" x14ac:dyDescent="0.3">
      <c r="A1081" s="17"/>
      <c r="B1081" s="17"/>
    </row>
    <row r="1082" spans="1:2" s="24" customFormat="1" x14ac:dyDescent="0.3">
      <c r="A1082" s="17"/>
      <c r="B1082" s="17"/>
    </row>
    <row r="1083" spans="1:2" s="24" customFormat="1" x14ac:dyDescent="0.3">
      <c r="A1083" s="17"/>
      <c r="B1083" s="17"/>
    </row>
    <row r="1084" spans="1:2" s="24" customFormat="1" x14ac:dyDescent="0.3">
      <c r="A1084" s="17"/>
      <c r="B1084" s="17"/>
    </row>
    <row r="1085" spans="1:2" s="24" customFormat="1" x14ac:dyDescent="0.3">
      <c r="A1085" s="17"/>
      <c r="B1085" s="17"/>
    </row>
    <row r="1086" spans="1:2" s="24" customFormat="1" x14ac:dyDescent="0.3">
      <c r="A1086" s="17"/>
      <c r="B1086" s="17"/>
    </row>
    <row r="1087" spans="1:2" s="24" customFormat="1" x14ac:dyDescent="0.3">
      <c r="A1087" s="17"/>
      <c r="B1087" s="17"/>
    </row>
    <row r="1088" spans="1:2" s="24" customFormat="1" x14ac:dyDescent="0.3">
      <c r="A1088" s="17"/>
      <c r="B1088" s="17"/>
    </row>
    <row r="1089" spans="1:2" s="24" customFormat="1" x14ac:dyDescent="0.3">
      <c r="A1089" s="17"/>
      <c r="B1089" s="17"/>
    </row>
    <row r="1090" spans="1:2" s="24" customFormat="1" x14ac:dyDescent="0.3">
      <c r="A1090" s="17"/>
      <c r="B1090" s="17"/>
    </row>
    <row r="1091" spans="1:2" s="24" customFormat="1" x14ac:dyDescent="0.3">
      <c r="A1091" s="17"/>
      <c r="B1091" s="17"/>
    </row>
    <row r="1092" spans="1:2" s="24" customFormat="1" x14ac:dyDescent="0.3">
      <c r="A1092" s="17"/>
      <c r="B1092" s="17"/>
    </row>
    <row r="1093" spans="1:2" s="24" customFormat="1" x14ac:dyDescent="0.3">
      <c r="A1093" s="17"/>
      <c r="B1093" s="17"/>
    </row>
    <row r="1094" spans="1:2" s="24" customFormat="1" x14ac:dyDescent="0.3">
      <c r="A1094" s="17"/>
      <c r="B1094" s="17"/>
    </row>
    <row r="1095" spans="1:2" s="24" customFormat="1" x14ac:dyDescent="0.3">
      <c r="A1095" s="17"/>
      <c r="B1095" s="17"/>
    </row>
    <row r="1096" spans="1:2" s="24" customFormat="1" x14ac:dyDescent="0.3">
      <c r="A1096" s="17"/>
      <c r="B1096" s="17"/>
    </row>
    <row r="1097" spans="1:2" s="24" customFormat="1" x14ac:dyDescent="0.3">
      <c r="A1097" s="17"/>
      <c r="B1097" s="17"/>
    </row>
    <row r="1098" spans="1:2" s="24" customFormat="1" x14ac:dyDescent="0.3">
      <c r="A1098" s="17"/>
      <c r="B1098" s="17"/>
    </row>
    <row r="1099" spans="1:2" s="24" customFormat="1" x14ac:dyDescent="0.3">
      <c r="A1099" s="17"/>
      <c r="B1099" s="17"/>
    </row>
    <row r="1100" spans="1:2" s="24" customFormat="1" x14ac:dyDescent="0.3">
      <c r="A1100" s="17"/>
      <c r="B1100" s="17"/>
    </row>
    <row r="1101" spans="1:2" s="24" customFormat="1" x14ac:dyDescent="0.3">
      <c r="A1101" s="17"/>
      <c r="B1101" s="17"/>
    </row>
    <row r="1102" spans="1:2" s="24" customFormat="1" x14ac:dyDescent="0.3">
      <c r="A1102" s="17"/>
      <c r="B1102" s="17"/>
    </row>
    <row r="1103" spans="1:2" s="24" customFormat="1" x14ac:dyDescent="0.3">
      <c r="A1103" s="17"/>
      <c r="B1103" s="17"/>
    </row>
    <row r="1104" spans="1:2" s="24" customFormat="1" x14ac:dyDescent="0.3">
      <c r="A1104" s="17"/>
      <c r="B1104" s="17"/>
    </row>
    <row r="1105" spans="1:2" s="24" customFormat="1" x14ac:dyDescent="0.3">
      <c r="A1105" s="17"/>
      <c r="B1105" s="17"/>
    </row>
    <row r="1106" spans="1:2" s="24" customFormat="1" x14ac:dyDescent="0.3">
      <c r="A1106" s="17"/>
      <c r="B1106" s="17"/>
    </row>
    <row r="1107" spans="1:2" s="24" customFormat="1" x14ac:dyDescent="0.3">
      <c r="A1107" s="17"/>
      <c r="B1107" s="17"/>
    </row>
    <row r="1108" spans="1:2" s="24" customFormat="1" x14ac:dyDescent="0.3">
      <c r="A1108" s="17"/>
      <c r="B1108" s="17"/>
    </row>
    <row r="1109" spans="1:2" s="24" customFormat="1" x14ac:dyDescent="0.3">
      <c r="A1109" s="17"/>
      <c r="B1109" s="17"/>
    </row>
    <row r="1110" spans="1:2" s="24" customFormat="1" x14ac:dyDescent="0.3">
      <c r="A1110" s="17"/>
      <c r="B1110" s="17"/>
    </row>
    <row r="1111" spans="1:2" s="24" customFormat="1" x14ac:dyDescent="0.3">
      <c r="A1111" s="17"/>
      <c r="B1111" s="17"/>
    </row>
    <row r="1112" spans="1:2" s="24" customFormat="1" x14ac:dyDescent="0.3">
      <c r="A1112" s="17"/>
      <c r="B1112" s="17"/>
    </row>
    <row r="1113" spans="1:2" s="24" customFormat="1" x14ac:dyDescent="0.3">
      <c r="A1113" s="17"/>
      <c r="B1113" s="17"/>
    </row>
    <row r="1114" spans="1:2" s="24" customFormat="1" x14ac:dyDescent="0.3">
      <c r="A1114" s="17"/>
      <c r="B1114" s="17"/>
    </row>
    <row r="1115" spans="1:2" s="24" customFormat="1" x14ac:dyDescent="0.3">
      <c r="A1115" s="17"/>
      <c r="B1115" s="17"/>
    </row>
    <row r="1116" spans="1:2" s="24" customFormat="1" x14ac:dyDescent="0.3">
      <c r="A1116" s="17"/>
      <c r="B1116" s="17"/>
    </row>
    <row r="1117" spans="1:2" s="24" customFormat="1" x14ac:dyDescent="0.3">
      <c r="A1117" s="17"/>
      <c r="B1117" s="17"/>
    </row>
    <row r="1118" spans="1:2" s="24" customFormat="1" x14ac:dyDescent="0.3">
      <c r="A1118" s="17"/>
      <c r="B1118" s="17"/>
    </row>
    <row r="1119" spans="1:2" s="24" customFormat="1" x14ac:dyDescent="0.3">
      <c r="A1119" s="17"/>
      <c r="B1119" s="17"/>
    </row>
    <row r="1120" spans="1:2" s="24" customFormat="1" x14ac:dyDescent="0.3">
      <c r="A1120" s="17"/>
      <c r="B1120" s="17"/>
    </row>
    <row r="1121" spans="1:2" s="24" customFormat="1" x14ac:dyDescent="0.3">
      <c r="A1121" s="17"/>
      <c r="B1121" s="17"/>
    </row>
    <row r="1122" spans="1:2" s="24" customFormat="1" x14ac:dyDescent="0.3">
      <c r="A1122" s="17"/>
      <c r="B1122" s="17"/>
    </row>
    <row r="1123" spans="1:2" s="24" customFormat="1" x14ac:dyDescent="0.3">
      <c r="A1123" s="17"/>
      <c r="B1123" s="17"/>
    </row>
    <row r="1124" spans="1:2" s="24" customFormat="1" x14ac:dyDescent="0.3">
      <c r="A1124" s="17"/>
      <c r="B1124" s="17"/>
    </row>
    <row r="1125" spans="1:2" s="24" customFormat="1" x14ac:dyDescent="0.3">
      <c r="A1125" s="17"/>
      <c r="B1125" s="17"/>
    </row>
    <row r="1126" spans="1:2" s="24" customFormat="1" x14ac:dyDescent="0.3">
      <c r="A1126" s="17"/>
      <c r="B1126" s="17"/>
    </row>
    <row r="1127" spans="1:2" s="24" customFormat="1" x14ac:dyDescent="0.3">
      <c r="A1127" s="17"/>
      <c r="B1127" s="17"/>
    </row>
    <row r="1128" spans="1:2" s="24" customFormat="1" x14ac:dyDescent="0.3">
      <c r="A1128" s="17"/>
      <c r="B1128" s="17"/>
    </row>
    <row r="1129" spans="1:2" s="24" customFormat="1" x14ac:dyDescent="0.3">
      <c r="A1129" s="17"/>
      <c r="B1129" s="17"/>
    </row>
    <row r="1130" spans="1:2" s="24" customFormat="1" x14ac:dyDescent="0.3">
      <c r="A1130" s="17"/>
      <c r="B1130" s="17"/>
    </row>
    <row r="1131" spans="1:2" s="24" customFormat="1" x14ac:dyDescent="0.3">
      <c r="A1131" s="17"/>
      <c r="B1131" s="17"/>
    </row>
    <row r="1132" spans="1:2" s="24" customFormat="1" x14ac:dyDescent="0.3">
      <c r="A1132" s="17"/>
      <c r="B1132" s="17"/>
    </row>
    <row r="1133" spans="1:2" s="24" customFormat="1" x14ac:dyDescent="0.3">
      <c r="A1133" s="17"/>
      <c r="B1133" s="17"/>
    </row>
    <row r="1134" spans="1:2" s="24" customFormat="1" x14ac:dyDescent="0.3">
      <c r="A1134" s="17"/>
      <c r="B1134" s="17"/>
    </row>
    <row r="1135" spans="1:2" s="24" customFormat="1" x14ac:dyDescent="0.3">
      <c r="A1135" s="17"/>
      <c r="B1135" s="17"/>
    </row>
    <row r="1136" spans="1:2" s="24" customFormat="1" x14ac:dyDescent="0.3">
      <c r="A1136" s="17"/>
      <c r="B1136" s="17"/>
    </row>
    <row r="1137" spans="1:2" s="24" customFormat="1" x14ac:dyDescent="0.3">
      <c r="A1137" s="17"/>
      <c r="B1137" s="17"/>
    </row>
    <row r="1138" spans="1:2" s="24" customFormat="1" x14ac:dyDescent="0.3">
      <c r="A1138" s="17"/>
      <c r="B1138" s="17"/>
    </row>
    <row r="1139" spans="1:2" s="24" customFormat="1" x14ac:dyDescent="0.3">
      <c r="A1139" s="17"/>
      <c r="B1139" s="17"/>
    </row>
    <row r="1140" spans="1:2" s="24" customFormat="1" x14ac:dyDescent="0.3">
      <c r="A1140" s="17"/>
      <c r="B1140" s="17"/>
    </row>
    <row r="1141" spans="1:2" s="24" customFormat="1" x14ac:dyDescent="0.3">
      <c r="A1141" s="17"/>
      <c r="B1141" s="17"/>
    </row>
    <row r="1142" spans="1:2" s="24" customFormat="1" x14ac:dyDescent="0.3">
      <c r="A1142" s="17"/>
      <c r="B1142" s="17"/>
    </row>
    <row r="1143" spans="1:2" s="24" customFormat="1" x14ac:dyDescent="0.3">
      <c r="A1143" s="17"/>
      <c r="B1143" s="17"/>
    </row>
    <row r="1144" spans="1:2" s="24" customFormat="1" x14ac:dyDescent="0.3">
      <c r="A1144" s="17"/>
      <c r="B1144" s="17"/>
    </row>
    <row r="1145" spans="1:2" s="24" customFormat="1" x14ac:dyDescent="0.3">
      <c r="A1145" s="17"/>
      <c r="B1145" s="17"/>
    </row>
    <row r="1146" spans="1:2" s="24" customFormat="1" x14ac:dyDescent="0.3">
      <c r="A1146" s="17"/>
      <c r="B1146" s="17"/>
    </row>
    <row r="1147" spans="1:2" s="24" customFormat="1" x14ac:dyDescent="0.3">
      <c r="A1147" s="17"/>
      <c r="B1147" s="17"/>
    </row>
    <row r="1148" spans="1:2" s="24" customFormat="1" x14ac:dyDescent="0.3">
      <c r="A1148" s="17"/>
      <c r="B1148" s="17"/>
    </row>
    <row r="1149" spans="1:2" s="24" customFormat="1" x14ac:dyDescent="0.3">
      <c r="A1149" s="17"/>
      <c r="B1149" s="17"/>
    </row>
    <row r="1150" spans="1:2" s="24" customFormat="1" x14ac:dyDescent="0.3">
      <c r="A1150" s="17"/>
      <c r="B1150" s="17"/>
    </row>
    <row r="1151" spans="1:2" s="24" customFormat="1" x14ac:dyDescent="0.3">
      <c r="A1151" s="17"/>
      <c r="B1151" s="17"/>
    </row>
    <row r="1152" spans="1:2" s="24" customFormat="1" x14ac:dyDescent="0.3">
      <c r="A1152" s="17"/>
      <c r="B1152" s="17"/>
    </row>
    <row r="1153" spans="1:2" s="24" customFormat="1" x14ac:dyDescent="0.3">
      <c r="A1153" s="17"/>
      <c r="B1153" s="17"/>
    </row>
    <row r="1154" spans="1:2" s="24" customFormat="1" x14ac:dyDescent="0.3">
      <c r="A1154" s="17"/>
      <c r="B1154" s="17"/>
    </row>
    <row r="1155" spans="1:2" s="24" customFormat="1" x14ac:dyDescent="0.3">
      <c r="A1155" s="17"/>
      <c r="B1155" s="17"/>
    </row>
    <row r="1156" spans="1:2" s="24" customFormat="1" x14ac:dyDescent="0.3">
      <c r="A1156" s="17"/>
      <c r="B1156" s="17"/>
    </row>
    <row r="1157" spans="1:2" s="24" customFormat="1" x14ac:dyDescent="0.3">
      <c r="A1157" s="17"/>
      <c r="B1157" s="17"/>
    </row>
    <row r="1158" spans="1:2" s="24" customFormat="1" x14ac:dyDescent="0.3">
      <c r="A1158" s="17"/>
      <c r="B1158" s="17"/>
    </row>
    <row r="1159" spans="1:2" s="24" customFormat="1" x14ac:dyDescent="0.3">
      <c r="A1159" s="17"/>
      <c r="B1159" s="17"/>
    </row>
    <row r="1160" spans="1:2" s="24" customFormat="1" x14ac:dyDescent="0.3">
      <c r="A1160" s="17"/>
      <c r="B1160" s="17"/>
    </row>
    <row r="1161" spans="1:2" s="24" customFormat="1" x14ac:dyDescent="0.3">
      <c r="A1161" s="17"/>
      <c r="B1161" s="17"/>
    </row>
    <row r="1162" spans="1:2" s="24" customFormat="1" x14ac:dyDescent="0.3">
      <c r="A1162" s="17"/>
      <c r="B1162" s="17"/>
    </row>
    <row r="1163" spans="1:2" s="24" customFormat="1" x14ac:dyDescent="0.3">
      <c r="A1163" s="17"/>
      <c r="B1163" s="17"/>
    </row>
    <row r="1164" spans="1:2" s="24" customFormat="1" x14ac:dyDescent="0.3">
      <c r="A1164" s="17"/>
      <c r="B1164" s="17"/>
    </row>
    <row r="1165" spans="1:2" s="24" customFormat="1" x14ac:dyDescent="0.3">
      <c r="A1165" s="17"/>
      <c r="B1165" s="17"/>
    </row>
    <row r="1166" spans="1:2" s="24" customFormat="1" x14ac:dyDescent="0.3">
      <c r="A1166" s="17"/>
      <c r="B1166" s="17"/>
    </row>
    <row r="1167" spans="1:2" s="24" customFormat="1" x14ac:dyDescent="0.3">
      <c r="A1167" s="17"/>
      <c r="B1167" s="17"/>
    </row>
    <row r="1168" spans="1:2" s="24" customFormat="1" x14ac:dyDescent="0.3">
      <c r="A1168" s="17"/>
      <c r="B1168" s="17"/>
    </row>
    <row r="1169" spans="1:2" s="24" customFormat="1" x14ac:dyDescent="0.3">
      <c r="A1169" s="17"/>
      <c r="B1169" s="17"/>
    </row>
    <row r="1170" spans="1:2" s="24" customFormat="1" x14ac:dyDescent="0.3">
      <c r="A1170" s="17"/>
      <c r="B1170" s="17"/>
    </row>
    <row r="1171" spans="1:2" s="24" customFormat="1" x14ac:dyDescent="0.3">
      <c r="A1171" s="17"/>
      <c r="B1171" s="17"/>
    </row>
    <row r="1172" spans="1:2" s="24" customFormat="1" x14ac:dyDescent="0.3">
      <c r="A1172" s="17"/>
      <c r="B1172" s="17"/>
    </row>
    <row r="1173" spans="1:2" s="24" customFormat="1" x14ac:dyDescent="0.3">
      <c r="A1173" s="17"/>
      <c r="B1173" s="17"/>
    </row>
    <row r="1174" spans="1:2" s="24" customFormat="1" x14ac:dyDescent="0.3">
      <c r="A1174" s="17"/>
      <c r="B1174" s="17"/>
    </row>
    <row r="1175" spans="1:2" s="24" customFormat="1" x14ac:dyDescent="0.3">
      <c r="A1175" s="17"/>
      <c r="B1175" s="17"/>
    </row>
    <row r="1176" spans="1:2" s="24" customFormat="1" x14ac:dyDescent="0.3">
      <c r="A1176" s="17"/>
      <c r="B1176" s="17"/>
    </row>
    <row r="1177" spans="1:2" s="24" customFormat="1" x14ac:dyDescent="0.3">
      <c r="A1177" s="17"/>
      <c r="B1177" s="17"/>
    </row>
    <row r="1178" spans="1:2" s="24" customFormat="1" x14ac:dyDescent="0.3">
      <c r="A1178" s="17"/>
      <c r="B1178" s="17"/>
    </row>
    <row r="1179" spans="1:2" s="24" customFormat="1" x14ac:dyDescent="0.3">
      <c r="A1179" s="17"/>
      <c r="B1179" s="17"/>
    </row>
    <row r="1180" spans="1:2" s="24" customFormat="1" x14ac:dyDescent="0.3">
      <c r="A1180" s="17"/>
      <c r="B1180" s="17"/>
    </row>
    <row r="1181" spans="1:2" s="24" customFormat="1" x14ac:dyDescent="0.3">
      <c r="A1181" s="17"/>
      <c r="B1181" s="17"/>
    </row>
    <row r="1182" spans="1:2" s="24" customFormat="1" x14ac:dyDescent="0.3">
      <c r="A1182" s="17"/>
      <c r="B1182" s="17"/>
    </row>
    <row r="1183" spans="1:2" s="24" customFormat="1" x14ac:dyDescent="0.3">
      <c r="A1183" s="17"/>
      <c r="B1183" s="17"/>
    </row>
    <row r="1184" spans="1:2" s="24" customFormat="1" x14ac:dyDescent="0.3">
      <c r="A1184" s="17"/>
      <c r="B1184" s="17"/>
    </row>
    <row r="1185" spans="1:2" s="24" customFormat="1" x14ac:dyDescent="0.3">
      <c r="A1185" s="17"/>
      <c r="B1185" s="17"/>
    </row>
    <row r="1186" spans="1:2" s="24" customFormat="1" x14ac:dyDescent="0.3">
      <c r="A1186" s="17"/>
      <c r="B1186" s="17"/>
    </row>
    <row r="1187" spans="1:2" s="24" customFormat="1" x14ac:dyDescent="0.3">
      <c r="A1187" s="17"/>
      <c r="B1187" s="17"/>
    </row>
    <row r="1188" spans="1:2" s="24" customFormat="1" x14ac:dyDescent="0.3">
      <c r="A1188" s="17"/>
      <c r="B1188" s="17"/>
    </row>
    <row r="1189" spans="1:2" s="24" customFormat="1" x14ac:dyDescent="0.3">
      <c r="A1189" s="17"/>
      <c r="B1189" s="17"/>
    </row>
    <row r="1190" spans="1:2" s="24" customFormat="1" x14ac:dyDescent="0.3">
      <c r="A1190" s="17"/>
      <c r="B1190" s="17"/>
    </row>
    <row r="1191" spans="1:2" s="24" customFormat="1" x14ac:dyDescent="0.3">
      <c r="A1191" s="17"/>
      <c r="B1191" s="17"/>
    </row>
    <row r="1192" spans="1:2" s="24" customFormat="1" x14ac:dyDescent="0.3">
      <c r="A1192" s="17"/>
      <c r="B1192" s="17"/>
    </row>
    <row r="1193" spans="1:2" s="24" customFormat="1" x14ac:dyDescent="0.3">
      <c r="A1193" s="17"/>
      <c r="B1193" s="17"/>
    </row>
    <row r="1194" spans="1:2" s="24" customFormat="1" x14ac:dyDescent="0.3">
      <c r="A1194" s="17"/>
      <c r="B1194" s="17"/>
    </row>
    <row r="1195" spans="1:2" s="24" customFormat="1" x14ac:dyDescent="0.3">
      <c r="A1195" s="17"/>
      <c r="B1195" s="17"/>
    </row>
    <row r="1196" spans="1:2" s="24" customFormat="1" x14ac:dyDescent="0.3">
      <c r="A1196" s="17"/>
      <c r="B1196" s="17"/>
    </row>
    <row r="1197" spans="1:2" s="24" customFormat="1" x14ac:dyDescent="0.3">
      <c r="A1197" s="17"/>
      <c r="B1197" s="17"/>
    </row>
    <row r="1198" spans="1:2" s="24" customFormat="1" x14ac:dyDescent="0.3">
      <c r="A1198" s="17"/>
      <c r="B1198" s="17"/>
    </row>
    <row r="1199" spans="1:2" s="24" customFormat="1" x14ac:dyDescent="0.3">
      <c r="A1199" s="17"/>
      <c r="B1199" s="17"/>
    </row>
    <row r="1200" spans="1:2" s="24" customFormat="1" x14ac:dyDescent="0.3">
      <c r="A1200" s="17"/>
      <c r="B1200" s="17"/>
    </row>
    <row r="1201" spans="1:2" s="24" customFormat="1" x14ac:dyDescent="0.3">
      <c r="A1201" s="17"/>
      <c r="B1201" s="17"/>
    </row>
    <row r="1202" spans="1:2" s="24" customFormat="1" x14ac:dyDescent="0.3">
      <c r="A1202" s="17"/>
      <c r="B1202" s="17"/>
    </row>
    <row r="1203" spans="1:2" s="24" customFormat="1" x14ac:dyDescent="0.3">
      <c r="A1203" s="17"/>
      <c r="B1203" s="17"/>
    </row>
    <row r="1204" spans="1:2" s="24" customFormat="1" x14ac:dyDescent="0.3">
      <c r="A1204" s="17"/>
      <c r="B1204" s="17"/>
    </row>
    <row r="1205" spans="1:2" s="24" customFormat="1" x14ac:dyDescent="0.3">
      <c r="A1205" s="17"/>
      <c r="B1205" s="17"/>
    </row>
    <row r="1206" spans="1:2" s="24" customFormat="1" x14ac:dyDescent="0.3">
      <c r="A1206" s="17"/>
      <c r="B1206" s="17"/>
    </row>
    <row r="1207" spans="1:2" s="24" customFormat="1" x14ac:dyDescent="0.3">
      <c r="A1207" s="17"/>
      <c r="B1207" s="17"/>
    </row>
    <row r="1208" spans="1:2" s="24" customFormat="1" x14ac:dyDescent="0.3">
      <c r="A1208" s="17"/>
      <c r="B1208" s="17"/>
    </row>
    <row r="1209" spans="1:2" s="24" customFormat="1" x14ac:dyDescent="0.3">
      <c r="A1209" s="17"/>
      <c r="B1209" s="17"/>
    </row>
    <row r="1210" spans="1:2" s="24" customFormat="1" x14ac:dyDescent="0.3">
      <c r="A1210" s="17"/>
      <c r="B1210" s="17"/>
    </row>
    <row r="1211" spans="1:2" s="24" customFormat="1" x14ac:dyDescent="0.3">
      <c r="A1211" s="17"/>
      <c r="B1211" s="17"/>
    </row>
    <row r="1212" spans="1:2" s="24" customFormat="1" x14ac:dyDescent="0.3">
      <c r="A1212" s="17"/>
      <c r="B1212" s="17"/>
    </row>
    <row r="1213" spans="1:2" s="24" customFormat="1" x14ac:dyDescent="0.3">
      <c r="A1213" s="17"/>
      <c r="B1213" s="17"/>
    </row>
    <row r="1214" spans="1:2" s="24" customFormat="1" x14ac:dyDescent="0.3">
      <c r="A1214" s="17"/>
      <c r="B1214" s="17"/>
    </row>
    <row r="1215" spans="1:2" s="24" customFormat="1" x14ac:dyDescent="0.3">
      <c r="A1215" s="17"/>
      <c r="B1215" s="17"/>
    </row>
    <row r="1216" spans="1:2" s="24" customFormat="1" x14ac:dyDescent="0.3">
      <c r="A1216" s="17"/>
      <c r="B1216" s="17"/>
    </row>
    <row r="1217" spans="1:2" s="24" customFormat="1" x14ac:dyDescent="0.3">
      <c r="A1217" s="17"/>
      <c r="B1217" s="17"/>
    </row>
    <row r="1218" spans="1:2" s="24" customFormat="1" x14ac:dyDescent="0.3">
      <c r="A1218" s="17"/>
      <c r="B1218" s="17"/>
    </row>
    <row r="1219" spans="1:2" s="24" customFormat="1" x14ac:dyDescent="0.3">
      <c r="A1219" s="17"/>
      <c r="B1219" s="17"/>
    </row>
    <row r="1220" spans="1:2" s="24" customFormat="1" x14ac:dyDescent="0.3">
      <c r="A1220" s="17"/>
      <c r="B1220" s="17"/>
    </row>
    <row r="1221" spans="1:2" s="24" customFormat="1" x14ac:dyDescent="0.3">
      <c r="A1221" s="17"/>
      <c r="B1221" s="17"/>
    </row>
    <row r="1222" spans="1:2" s="24" customFormat="1" x14ac:dyDescent="0.3">
      <c r="A1222" s="17"/>
      <c r="B1222" s="17"/>
    </row>
    <row r="1223" spans="1:2" s="24" customFormat="1" x14ac:dyDescent="0.3">
      <c r="A1223" s="17"/>
      <c r="B1223" s="17"/>
    </row>
    <row r="1224" spans="1:2" s="24" customFormat="1" x14ac:dyDescent="0.3">
      <c r="A1224" s="17"/>
      <c r="B1224" s="17"/>
    </row>
    <row r="1225" spans="1:2" s="24" customFormat="1" x14ac:dyDescent="0.3">
      <c r="A1225" s="17"/>
      <c r="B1225" s="17"/>
    </row>
    <row r="1226" spans="1:2" s="24" customFormat="1" x14ac:dyDescent="0.3">
      <c r="A1226" s="17"/>
      <c r="B1226" s="17"/>
    </row>
    <row r="1227" spans="1:2" s="24" customFormat="1" x14ac:dyDescent="0.3">
      <c r="A1227" s="17"/>
      <c r="B1227" s="17"/>
    </row>
    <row r="1228" spans="1:2" s="24" customFormat="1" x14ac:dyDescent="0.3">
      <c r="A1228" s="17"/>
      <c r="B1228" s="17"/>
    </row>
    <row r="1229" spans="1:2" s="24" customFormat="1" x14ac:dyDescent="0.3">
      <c r="A1229" s="17"/>
      <c r="B1229" s="17"/>
    </row>
    <row r="1230" spans="1:2" s="24" customFormat="1" x14ac:dyDescent="0.3">
      <c r="A1230" s="17"/>
      <c r="B1230" s="17"/>
    </row>
    <row r="1231" spans="1:2" s="24" customFormat="1" x14ac:dyDescent="0.3">
      <c r="A1231" s="17"/>
      <c r="B1231" s="17"/>
    </row>
    <row r="1232" spans="1:2" s="24" customFormat="1" x14ac:dyDescent="0.3">
      <c r="A1232" s="17"/>
      <c r="B1232" s="17"/>
    </row>
    <row r="1233" spans="1:2" s="24" customFormat="1" x14ac:dyDescent="0.3">
      <c r="A1233" s="17"/>
      <c r="B1233" s="17"/>
    </row>
    <row r="1234" spans="1:2" s="24" customFormat="1" x14ac:dyDescent="0.3">
      <c r="A1234" s="17"/>
      <c r="B1234" s="17"/>
    </row>
    <row r="1235" spans="1:2" s="24" customFormat="1" x14ac:dyDescent="0.3">
      <c r="A1235" s="17"/>
      <c r="B1235" s="17"/>
    </row>
    <row r="1236" spans="1:2" s="24" customFormat="1" x14ac:dyDescent="0.3">
      <c r="A1236" s="17"/>
      <c r="B1236" s="17"/>
    </row>
    <row r="1237" spans="1:2" s="24" customFormat="1" x14ac:dyDescent="0.3">
      <c r="A1237" s="17"/>
      <c r="B1237" s="17"/>
    </row>
    <row r="1238" spans="1:2" s="24" customFormat="1" x14ac:dyDescent="0.3">
      <c r="A1238" s="17"/>
      <c r="B1238" s="17"/>
    </row>
    <row r="1239" spans="1:2" s="24" customFormat="1" x14ac:dyDescent="0.3">
      <c r="A1239" s="17"/>
      <c r="B1239" s="17"/>
    </row>
    <row r="1240" spans="1:2" s="24" customFormat="1" x14ac:dyDescent="0.3">
      <c r="A1240" s="17"/>
      <c r="B1240" s="17"/>
    </row>
    <row r="1241" spans="1:2" s="24" customFormat="1" x14ac:dyDescent="0.3">
      <c r="A1241" s="17"/>
      <c r="B1241" s="17"/>
    </row>
    <row r="1242" spans="1:2" s="24" customFormat="1" x14ac:dyDescent="0.3">
      <c r="A1242" s="17"/>
      <c r="B1242" s="17"/>
    </row>
    <row r="1243" spans="1:2" s="24" customFormat="1" x14ac:dyDescent="0.3">
      <c r="A1243" s="17"/>
      <c r="B1243" s="17"/>
    </row>
    <row r="1244" spans="1:2" s="24" customFormat="1" x14ac:dyDescent="0.3">
      <c r="A1244" s="17"/>
      <c r="B1244" s="17"/>
    </row>
    <row r="1245" spans="1:2" s="24" customFormat="1" x14ac:dyDescent="0.3">
      <c r="A1245" s="17"/>
      <c r="B1245" s="17"/>
    </row>
    <row r="1246" spans="1:2" s="24" customFormat="1" x14ac:dyDescent="0.3">
      <c r="A1246" s="17"/>
      <c r="B1246" s="17"/>
    </row>
    <row r="1247" spans="1:2" s="24" customFormat="1" x14ac:dyDescent="0.3">
      <c r="A1247" s="17"/>
      <c r="B1247" s="17"/>
    </row>
    <row r="1248" spans="1:2" s="24" customFormat="1" x14ac:dyDescent="0.3">
      <c r="A1248" s="17"/>
      <c r="B1248" s="17"/>
    </row>
    <row r="1249" spans="1:2" s="24" customFormat="1" x14ac:dyDescent="0.3">
      <c r="A1249" s="17"/>
      <c r="B1249" s="17"/>
    </row>
    <row r="1250" spans="1:2" s="24" customFormat="1" x14ac:dyDescent="0.3">
      <c r="A1250" s="17"/>
      <c r="B1250" s="17"/>
    </row>
    <row r="1251" spans="1:2" s="24" customFormat="1" x14ac:dyDescent="0.3">
      <c r="A1251" s="17"/>
      <c r="B1251" s="17"/>
    </row>
    <row r="1252" spans="1:2" s="24" customFormat="1" x14ac:dyDescent="0.3">
      <c r="A1252" s="17"/>
      <c r="B1252" s="17"/>
    </row>
    <row r="1253" spans="1:2" s="24" customFormat="1" x14ac:dyDescent="0.3">
      <c r="A1253" s="17"/>
      <c r="B1253" s="17"/>
    </row>
    <row r="1254" spans="1:2" s="24" customFormat="1" x14ac:dyDescent="0.3">
      <c r="A1254" s="17"/>
      <c r="B1254" s="17"/>
    </row>
    <row r="1255" spans="1:2" s="24" customFormat="1" x14ac:dyDescent="0.3">
      <c r="A1255" s="17"/>
      <c r="B1255" s="17"/>
    </row>
    <row r="1256" spans="1:2" s="24" customFormat="1" x14ac:dyDescent="0.3">
      <c r="A1256" s="17"/>
      <c r="B1256" s="17"/>
    </row>
    <row r="1257" spans="1:2" s="24" customFormat="1" x14ac:dyDescent="0.3">
      <c r="A1257" s="17"/>
      <c r="B1257" s="17"/>
    </row>
    <row r="1258" spans="1:2" s="24" customFormat="1" x14ac:dyDescent="0.3">
      <c r="A1258" s="17"/>
      <c r="B1258" s="17"/>
    </row>
    <row r="1259" spans="1:2" s="24" customFormat="1" x14ac:dyDescent="0.3">
      <c r="A1259" s="17"/>
      <c r="B1259" s="17"/>
    </row>
    <row r="1260" spans="1:2" s="24" customFormat="1" x14ac:dyDescent="0.3">
      <c r="A1260" s="17"/>
      <c r="B1260" s="17"/>
    </row>
    <row r="1261" spans="1:2" s="24" customFormat="1" x14ac:dyDescent="0.3">
      <c r="A1261" s="17"/>
      <c r="B1261" s="17"/>
    </row>
    <row r="1262" spans="1:2" s="24" customFormat="1" x14ac:dyDescent="0.3">
      <c r="A1262" s="17"/>
      <c r="B1262" s="17"/>
    </row>
    <row r="1263" spans="1:2" s="24" customFormat="1" x14ac:dyDescent="0.3">
      <c r="A1263" s="17"/>
      <c r="B1263" s="17"/>
    </row>
    <row r="1264" spans="1:2" s="24" customFormat="1" x14ac:dyDescent="0.3">
      <c r="A1264" s="17"/>
      <c r="B1264" s="17"/>
    </row>
    <row r="1265" spans="1:2" s="24" customFormat="1" x14ac:dyDescent="0.3">
      <c r="A1265" s="17"/>
      <c r="B1265" s="17"/>
    </row>
    <row r="1266" spans="1:2" s="24" customFormat="1" x14ac:dyDescent="0.3">
      <c r="A1266" s="17"/>
      <c r="B1266" s="17"/>
    </row>
    <row r="1267" spans="1:2" s="24" customFormat="1" x14ac:dyDescent="0.3">
      <c r="A1267" s="17"/>
      <c r="B1267" s="17"/>
    </row>
    <row r="1268" spans="1:2" s="24" customFormat="1" x14ac:dyDescent="0.3">
      <c r="A1268" s="17"/>
      <c r="B1268" s="17"/>
    </row>
    <row r="1269" spans="1:2" s="24" customFormat="1" x14ac:dyDescent="0.3">
      <c r="A1269" s="17"/>
      <c r="B1269" s="17"/>
    </row>
    <row r="1270" spans="1:2" s="24" customFormat="1" x14ac:dyDescent="0.3">
      <c r="A1270" s="17"/>
      <c r="B1270" s="17"/>
    </row>
    <row r="1271" spans="1:2" s="24" customFormat="1" x14ac:dyDescent="0.3">
      <c r="A1271" s="17"/>
      <c r="B1271" s="17"/>
    </row>
    <row r="1272" spans="1:2" s="24" customFormat="1" x14ac:dyDescent="0.3">
      <c r="A1272" s="17"/>
      <c r="B1272" s="17"/>
    </row>
    <row r="1273" spans="1:2" s="24" customFormat="1" x14ac:dyDescent="0.3">
      <c r="A1273" s="17"/>
      <c r="B1273" s="17"/>
    </row>
    <row r="1274" spans="1:2" s="24" customFormat="1" x14ac:dyDescent="0.3">
      <c r="A1274" s="17"/>
      <c r="B1274" s="17"/>
    </row>
    <row r="1275" spans="1:2" s="24" customFormat="1" x14ac:dyDescent="0.3">
      <c r="A1275" s="17"/>
      <c r="B1275" s="17"/>
    </row>
    <row r="1276" spans="1:2" s="24" customFormat="1" x14ac:dyDescent="0.3">
      <c r="A1276" s="17"/>
      <c r="B1276" s="17"/>
    </row>
    <row r="1277" spans="1:2" s="24" customFormat="1" x14ac:dyDescent="0.3">
      <c r="A1277" s="17"/>
      <c r="B1277" s="17"/>
    </row>
    <row r="1278" spans="1:2" s="24" customFormat="1" x14ac:dyDescent="0.3">
      <c r="A1278" s="17"/>
      <c r="B1278" s="17"/>
    </row>
    <row r="1279" spans="1:2" s="24" customFormat="1" x14ac:dyDescent="0.3">
      <c r="A1279" s="17"/>
      <c r="B1279" s="17"/>
    </row>
    <row r="1280" spans="1:2" s="24" customFormat="1" x14ac:dyDescent="0.3">
      <c r="A1280" s="17"/>
      <c r="B1280" s="17"/>
    </row>
    <row r="1281" spans="1:2" s="24" customFormat="1" x14ac:dyDescent="0.3">
      <c r="A1281" s="17"/>
      <c r="B1281" s="17"/>
    </row>
    <row r="1282" spans="1:2" s="24" customFormat="1" x14ac:dyDescent="0.3">
      <c r="A1282" s="17"/>
      <c r="B1282" s="17"/>
    </row>
    <row r="1283" spans="1:2" s="24" customFormat="1" x14ac:dyDescent="0.3">
      <c r="A1283" s="17"/>
      <c r="B1283" s="17"/>
    </row>
    <row r="1284" spans="1:2" s="24" customFormat="1" x14ac:dyDescent="0.3">
      <c r="A1284" s="17"/>
      <c r="B1284" s="17"/>
    </row>
    <row r="1285" spans="1:2" s="24" customFormat="1" x14ac:dyDescent="0.3">
      <c r="A1285" s="17"/>
      <c r="B1285" s="17"/>
    </row>
    <row r="1286" spans="1:2" s="24" customFormat="1" x14ac:dyDescent="0.3">
      <c r="A1286" s="17"/>
      <c r="B1286" s="17"/>
    </row>
    <row r="1287" spans="1:2" s="24" customFormat="1" x14ac:dyDescent="0.3">
      <c r="A1287" s="17"/>
      <c r="B1287" s="17"/>
    </row>
    <row r="1288" spans="1:2" s="24" customFormat="1" x14ac:dyDescent="0.3">
      <c r="A1288" s="17"/>
      <c r="B1288" s="17"/>
    </row>
    <row r="1289" spans="1:2" s="24" customFormat="1" x14ac:dyDescent="0.3">
      <c r="A1289" s="17"/>
      <c r="B1289" s="17"/>
    </row>
    <row r="1290" spans="1:2" s="24" customFormat="1" x14ac:dyDescent="0.3">
      <c r="A1290" s="17"/>
      <c r="B1290" s="17"/>
    </row>
    <row r="1291" spans="1:2" s="24" customFormat="1" x14ac:dyDescent="0.3">
      <c r="A1291" s="17"/>
      <c r="B1291" s="17"/>
    </row>
    <row r="1292" spans="1:2" s="24" customFormat="1" x14ac:dyDescent="0.3">
      <c r="A1292" s="17"/>
      <c r="B1292" s="17"/>
    </row>
    <row r="1293" spans="1:2" s="24" customFormat="1" x14ac:dyDescent="0.3">
      <c r="A1293" s="17"/>
      <c r="B1293" s="17"/>
    </row>
    <row r="1294" spans="1:2" s="24" customFormat="1" x14ac:dyDescent="0.3">
      <c r="A1294" s="17"/>
      <c r="B1294" s="17"/>
    </row>
    <row r="1295" spans="1:2" s="24" customFormat="1" x14ac:dyDescent="0.3">
      <c r="A1295" s="17"/>
      <c r="B1295" s="17"/>
    </row>
    <row r="1296" spans="1:2" s="24" customFormat="1" x14ac:dyDescent="0.3">
      <c r="A1296" s="17"/>
      <c r="B1296" s="17"/>
    </row>
    <row r="1297" spans="1:2" s="24" customFormat="1" x14ac:dyDescent="0.3">
      <c r="A1297" s="17"/>
      <c r="B1297" s="17"/>
    </row>
    <row r="1298" spans="1:2" s="24" customFormat="1" x14ac:dyDescent="0.3">
      <c r="A1298" s="17"/>
      <c r="B1298" s="17"/>
    </row>
    <row r="1299" spans="1:2" s="24" customFormat="1" x14ac:dyDescent="0.3">
      <c r="A1299" s="17"/>
      <c r="B1299" s="17"/>
    </row>
    <row r="1300" spans="1:2" s="24" customFormat="1" x14ac:dyDescent="0.3">
      <c r="A1300" s="17"/>
      <c r="B1300" s="17"/>
    </row>
    <row r="1301" spans="1:2" s="24" customFormat="1" x14ac:dyDescent="0.3">
      <c r="A1301" s="17"/>
      <c r="B1301" s="17"/>
    </row>
    <row r="1302" spans="1:2" s="24" customFormat="1" x14ac:dyDescent="0.3">
      <c r="A1302" s="17"/>
      <c r="B1302" s="17"/>
    </row>
    <row r="1303" spans="1:2" s="24" customFormat="1" x14ac:dyDescent="0.3">
      <c r="A1303" s="17"/>
      <c r="B1303" s="17"/>
    </row>
    <row r="1304" spans="1:2" s="24" customFormat="1" x14ac:dyDescent="0.3">
      <c r="A1304" s="17"/>
      <c r="B1304" s="17"/>
    </row>
    <row r="1305" spans="1:2" s="24" customFormat="1" x14ac:dyDescent="0.3">
      <c r="A1305" s="17"/>
      <c r="B1305" s="17"/>
    </row>
    <row r="1306" spans="1:2" s="24" customFormat="1" x14ac:dyDescent="0.3">
      <c r="A1306" s="17"/>
      <c r="B1306" s="17"/>
    </row>
    <row r="1307" spans="1:2" s="24" customFormat="1" x14ac:dyDescent="0.3">
      <c r="A1307" s="17"/>
      <c r="B1307" s="17"/>
    </row>
    <row r="1308" spans="1:2" s="24" customFormat="1" x14ac:dyDescent="0.3">
      <c r="A1308" s="17"/>
      <c r="B1308" s="17"/>
    </row>
    <row r="1309" spans="1:2" s="24" customFormat="1" x14ac:dyDescent="0.3">
      <c r="A1309" s="17"/>
      <c r="B1309" s="17"/>
    </row>
    <row r="1310" spans="1:2" s="24" customFormat="1" x14ac:dyDescent="0.3">
      <c r="A1310" s="17"/>
      <c r="B1310" s="17"/>
    </row>
    <row r="1311" spans="1:2" s="24" customFormat="1" x14ac:dyDescent="0.3">
      <c r="A1311" s="17"/>
      <c r="B1311" s="17"/>
    </row>
    <row r="1312" spans="1:2" s="24" customFormat="1" x14ac:dyDescent="0.3">
      <c r="A1312" s="17"/>
      <c r="B1312" s="17"/>
    </row>
    <row r="1313" spans="1:2" s="24" customFormat="1" x14ac:dyDescent="0.3">
      <c r="A1313" s="17"/>
      <c r="B1313" s="17"/>
    </row>
    <row r="1314" spans="1:2" s="24" customFormat="1" x14ac:dyDescent="0.3">
      <c r="A1314" s="17"/>
      <c r="B1314" s="17"/>
    </row>
    <row r="1315" spans="1:2" s="24" customFormat="1" x14ac:dyDescent="0.3">
      <c r="A1315" s="17"/>
      <c r="B1315" s="17"/>
    </row>
    <row r="1316" spans="1:2" s="24" customFormat="1" x14ac:dyDescent="0.3">
      <c r="A1316" s="17"/>
      <c r="B1316" s="17"/>
    </row>
    <row r="1317" spans="1:2" s="24" customFormat="1" x14ac:dyDescent="0.3">
      <c r="A1317" s="17"/>
      <c r="B1317" s="17"/>
    </row>
    <row r="1318" spans="1:2" s="24" customFormat="1" x14ac:dyDescent="0.3">
      <c r="A1318" s="17"/>
      <c r="B1318" s="17"/>
    </row>
    <row r="1319" spans="1:2" s="24" customFormat="1" x14ac:dyDescent="0.3">
      <c r="A1319" s="17"/>
      <c r="B1319" s="17"/>
    </row>
    <row r="1320" spans="1:2" s="24" customFormat="1" x14ac:dyDescent="0.3">
      <c r="A1320" s="17"/>
      <c r="B1320" s="17"/>
    </row>
    <row r="1321" spans="1:2" s="24" customFormat="1" x14ac:dyDescent="0.3">
      <c r="A1321" s="17"/>
      <c r="B1321" s="17"/>
    </row>
    <row r="1322" spans="1:2" s="24" customFormat="1" x14ac:dyDescent="0.3">
      <c r="A1322" s="17"/>
      <c r="B1322" s="17"/>
    </row>
    <row r="1323" spans="1:2" s="24" customFormat="1" x14ac:dyDescent="0.3">
      <c r="A1323" s="17"/>
      <c r="B1323" s="17"/>
    </row>
    <row r="1324" spans="1:2" s="24" customFormat="1" x14ac:dyDescent="0.3">
      <c r="A1324" s="17"/>
      <c r="B1324" s="17"/>
    </row>
    <row r="1325" spans="1:2" s="24" customFormat="1" x14ac:dyDescent="0.3">
      <c r="A1325" s="17"/>
      <c r="B1325" s="17"/>
    </row>
    <row r="1326" spans="1:2" s="24" customFormat="1" x14ac:dyDescent="0.3">
      <c r="A1326" s="17"/>
      <c r="B1326" s="17"/>
    </row>
    <row r="1327" spans="1:2" s="24" customFormat="1" x14ac:dyDescent="0.3">
      <c r="A1327" s="17"/>
      <c r="B1327" s="17"/>
    </row>
    <row r="1328" spans="1:2" s="24" customFormat="1" x14ac:dyDescent="0.3">
      <c r="A1328" s="17"/>
      <c r="B1328" s="17"/>
    </row>
    <row r="1329" spans="1:2" s="24" customFormat="1" x14ac:dyDescent="0.3">
      <c r="A1329" s="17"/>
      <c r="B1329" s="17"/>
    </row>
    <row r="1330" spans="1:2" s="24" customFormat="1" x14ac:dyDescent="0.3">
      <c r="A1330" s="17"/>
      <c r="B1330" s="17"/>
    </row>
    <row r="1331" spans="1:2" s="24" customFormat="1" x14ac:dyDescent="0.3">
      <c r="A1331" s="17"/>
      <c r="B1331" s="17"/>
    </row>
    <row r="1332" spans="1:2" s="24" customFormat="1" x14ac:dyDescent="0.3">
      <c r="A1332" s="17"/>
      <c r="B1332" s="17"/>
    </row>
    <row r="1333" spans="1:2" s="24" customFormat="1" x14ac:dyDescent="0.3">
      <c r="A1333" s="17"/>
      <c r="B1333" s="17"/>
    </row>
    <row r="1334" spans="1:2" s="24" customFormat="1" x14ac:dyDescent="0.3">
      <c r="A1334" s="17"/>
      <c r="B1334" s="17"/>
    </row>
    <row r="1335" spans="1:2" s="24" customFormat="1" x14ac:dyDescent="0.3">
      <c r="A1335" s="17"/>
      <c r="B1335" s="17"/>
    </row>
    <row r="1336" spans="1:2" s="24" customFormat="1" x14ac:dyDescent="0.3">
      <c r="A1336" s="17"/>
      <c r="B1336" s="17"/>
    </row>
    <row r="1337" spans="1:2" s="24" customFormat="1" x14ac:dyDescent="0.3">
      <c r="A1337" s="17"/>
      <c r="B1337" s="17"/>
    </row>
    <row r="1338" spans="1:2" s="24" customFormat="1" x14ac:dyDescent="0.3">
      <c r="A1338" s="17"/>
      <c r="B1338" s="17"/>
    </row>
    <row r="1339" spans="1:2" s="24" customFormat="1" x14ac:dyDescent="0.3">
      <c r="A1339" s="17"/>
      <c r="B1339" s="17"/>
    </row>
    <row r="1340" spans="1:2" s="24" customFormat="1" x14ac:dyDescent="0.3">
      <c r="A1340" s="17"/>
      <c r="B1340" s="17"/>
    </row>
    <row r="1341" spans="1:2" s="24" customFormat="1" x14ac:dyDescent="0.3">
      <c r="A1341" s="17"/>
      <c r="B1341" s="17"/>
    </row>
    <row r="1342" spans="1:2" s="24" customFormat="1" x14ac:dyDescent="0.3">
      <c r="A1342" s="17"/>
      <c r="B1342" s="17"/>
    </row>
    <row r="1343" spans="1:2" s="24" customFormat="1" x14ac:dyDescent="0.3">
      <c r="A1343" s="17"/>
      <c r="B1343" s="17"/>
    </row>
    <row r="1344" spans="1:2" s="24" customFormat="1" x14ac:dyDescent="0.3">
      <c r="A1344" s="17"/>
      <c r="B1344" s="17"/>
    </row>
    <row r="1345" spans="1:2" s="24" customFormat="1" x14ac:dyDescent="0.3">
      <c r="A1345" s="17"/>
      <c r="B1345" s="17"/>
    </row>
    <row r="1346" spans="1:2" s="24" customFormat="1" x14ac:dyDescent="0.3">
      <c r="A1346" s="17"/>
      <c r="B1346" s="17"/>
    </row>
    <row r="1347" spans="1:2" s="24" customFormat="1" x14ac:dyDescent="0.3">
      <c r="A1347" s="17"/>
      <c r="B1347" s="17"/>
    </row>
    <row r="1348" spans="1:2" s="24" customFormat="1" x14ac:dyDescent="0.3">
      <c r="A1348" s="17"/>
      <c r="B1348" s="17"/>
    </row>
    <row r="1349" spans="1:2" s="24" customFormat="1" x14ac:dyDescent="0.3">
      <c r="A1349" s="17"/>
      <c r="B1349" s="17"/>
    </row>
    <row r="1350" spans="1:2" s="24" customFormat="1" x14ac:dyDescent="0.3">
      <c r="A1350" s="17"/>
      <c r="B1350" s="17"/>
    </row>
    <row r="1351" spans="1:2" s="24" customFormat="1" x14ac:dyDescent="0.3">
      <c r="A1351" s="17"/>
      <c r="B1351" s="17"/>
    </row>
    <row r="1352" spans="1:2" s="24" customFormat="1" x14ac:dyDescent="0.3">
      <c r="A1352" s="17"/>
      <c r="B1352" s="17"/>
    </row>
    <row r="1353" spans="1:2" s="24" customFormat="1" x14ac:dyDescent="0.3">
      <c r="A1353" s="17"/>
      <c r="B1353" s="17"/>
    </row>
    <row r="1354" spans="1:2" s="24" customFormat="1" x14ac:dyDescent="0.3">
      <c r="A1354" s="17"/>
      <c r="B1354" s="17"/>
    </row>
    <row r="1355" spans="1:2" s="24" customFormat="1" x14ac:dyDescent="0.3">
      <c r="A1355" s="17"/>
      <c r="B1355" s="17"/>
    </row>
    <row r="1356" spans="1:2" s="24" customFormat="1" x14ac:dyDescent="0.3">
      <c r="A1356" s="17"/>
      <c r="B1356" s="17"/>
    </row>
    <row r="1357" spans="1:2" s="24" customFormat="1" x14ac:dyDescent="0.3">
      <c r="A1357" s="17"/>
      <c r="B1357" s="17"/>
    </row>
    <row r="1358" spans="1:2" s="24" customFormat="1" x14ac:dyDescent="0.3">
      <c r="A1358" s="17"/>
      <c r="B1358" s="17"/>
    </row>
    <row r="1359" spans="1:2" s="24" customFormat="1" x14ac:dyDescent="0.3">
      <c r="A1359" s="17"/>
      <c r="B1359" s="17"/>
    </row>
    <row r="1360" spans="1:2" s="24" customFormat="1" x14ac:dyDescent="0.3">
      <c r="A1360" s="17"/>
      <c r="B1360" s="17"/>
    </row>
    <row r="1361" spans="1:42" s="24" customFormat="1" x14ac:dyDescent="0.3">
      <c r="A1361" s="17"/>
      <c r="B1361" s="17"/>
    </row>
    <row r="1362" spans="1:42" s="24" customFormat="1" x14ac:dyDescent="0.3">
      <c r="A1362" s="17"/>
      <c r="B1362" s="17"/>
    </row>
    <row r="1363" spans="1:42" s="24" customFormat="1" x14ac:dyDescent="0.3">
      <c r="A1363" s="17"/>
      <c r="B1363" s="17"/>
    </row>
    <row r="1364" spans="1:42" s="24" customFormat="1" x14ac:dyDescent="0.3">
      <c r="A1364" s="17"/>
      <c r="B1364" s="17"/>
    </row>
    <row r="1365" spans="1:42" s="24" customFormat="1" x14ac:dyDescent="0.3">
      <c r="A1365" s="17"/>
      <c r="B1365" s="17"/>
    </row>
    <row r="1366" spans="1:42" s="24" customFormat="1" x14ac:dyDescent="0.3">
      <c r="A1366" s="17"/>
      <c r="B1366" s="17"/>
    </row>
    <row r="1367" spans="1:42" s="24" customFormat="1" x14ac:dyDescent="0.3">
      <c r="A1367" s="17"/>
      <c r="B1367" s="17"/>
    </row>
    <row r="1368" spans="1:42" s="24" customFormat="1" x14ac:dyDescent="0.3">
      <c r="A1368" s="17"/>
      <c r="B1368" s="17"/>
    </row>
    <row r="1369" spans="1:42" s="24" customFormat="1" x14ac:dyDescent="0.3">
      <c r="A1369" s="26"/>
      <c r="B1369" s="17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</row>
    <row r="1370" spans="1:42" s="24" customFormat="1" x14ac:dyDescent="0.3">
      <c r="A1370" s="26"/>
      <c r="B1370" s="17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</row>
    <row r="1371" spans="1:42" s="24" customFormat="1" x14ac:dyDescent="0.3">
      <c r="A1371" s="26"/>
      <c r="B1371" s="17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</row>
    <row r="1372" spans="1:42" s="24" customFormat="1" x14ac:dyDescent="0.3">
      <c r="A1372" s="26"/>
      <c r="B1372" s="17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</row>
    <row r="1373" spans="1:42" s="24" customFormat="1" x14ac:dyDescent="0.3">
      <c r="A1373" s="26"/>
      <c r="B1373" s="17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</row>
    <row r="1374" spans="1:42" s="24" customFormat="1" x14ac:dyDescent="0.3">
      <c r="A1374" s="26"/>
      <c r="B1374" s="17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</row>
    <row r="1375" spans="1:42" s="24" customFormat="1" x14ac:dyDescent="0.3">
      <c r="A1375" s="26"/>
      <c r="B1375" s="17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</row>
    <row r="1376" spans="1:42" s="24" customFormat="1" x14ac:dyDescent="0.3">
      <c r="A1376" s="26"/>
      <c r="B1376" s="17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</row>
    <row r="1377" spans="1:42" s="24" customFormat="1" x14ac:dyDescent="0.3">
      <c r="A1377" s="26"/>
      <c r="B1377" s="1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</row>
    <row r="1378" spans="1:42" s="24" customFormat="1" x14ac:dyDescent="0.3">
      <c r="A1378" s="26"/>
      <c r="B1378" s="17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</row>
    <row r="1379" spans="1:42" s="24" customFormat="1" x14ac:dyDescent="0.3">
      <c r="A1379" s="26"/>
      <c r="B1379" s="17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</row>
    <row r="1380" spans="1:42" s="24" customFormat="1" x14ac:dyDescent="0.3">
      <c r="A1380" s="26"/>
      <c r="B1380" s="17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</row>
    <row r="1381" spans="1:42" s="24" customFormat="1" x14ac:dyDescent="0.3">
      <c r="A1381" s="26"/>
      <c r="B1381" s="17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</row>
    <row r="1382" spans="1:42" s="24" customFormat="1" x14ac:dyDescent="0.3">
      <c r="A1382" s="26"/>
      <c r="B1382" s="17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</row>
    <row r="1383" spans="1:42" s="24" customFormat="1" x14ac:dyDescent="0.3">
      <c r="A1383" s="26"/>
      <c r="B1383" s="17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</row>
    <row r="1384" spans="1:42" s="24" customFormat="1" x14ac:dyDescent="0.3">
      <c r="A1384" s="26"/>
      <c r="B1384" s="17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</row>
    <row r="1385" spans="1:42" s="24" customFormat="1" x14ac:dyDescent="0.3">
      <c r="A1385" s="26"/>
      <c r="B1385" s="17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</row>
    <row r="1386" spans="1:42" s="24" customFormat="1" x14ac:dyDescent="0.3">
      <c r="A1386" s="26"/>
      <c r="B1386" s="17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</row>
    <row r="1387" spans="1:42" s="24" customFormat="1" x14ac:dyDescent="0.3">
      <c r="A1387" s="26"/>
      <c r="B1387" s="1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</row>
    <row r="1388" spans="1:42" s="24" customFormat="1" x14ac:dyDescent="0.3">
      <c r="A1388" s="26"/>
      <c r="B1388" s="17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</row>
    <row r="1389" spans="1:42" s="24" customFormat="1" x14ac:dyDescent="0.3">
      <c r="A1389" s="26"/>
      <c r="B1389" s="17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</row>
    <row r="1390" spans="1:42" s="24" customFormat="1" x14ac:dyDescent="0.3">
      <c r="A1390" s="26"/>
      <c r="B1390" s="17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</row>
    <row r="1391" spans="1:42" s="24" customFormat="1" x14ac:dyDescent="0.3">
      <c r="A1391" s="26"/>
      <c r="B1391" s="17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</row>
    <row r="1392" spans="1:42" s="24" customFormat="1" x14ac:dyDescent="0.3">
      <c r="A1392" s="26"/>
      <c r="B1392" s="17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</row>
    <row r="1393" spans="1:42" s="24" customFormat="1" x14ac:dyDescent="0.3">
      <c r="A1393" s="26"/>
      <c r="B1393" s="17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</row>
    <row r="1394" spans="1:42" s="24" customFormat="1" x14ac:dyDescent="0.3">
      <c r="A1394" s="26"/>
      <c r="B1394" s="17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</row>
    <row r="1395" spans="1:42" s="24" customFormat="1" x14ac:dyDescent="0.3">
      <c r="A1395" s="26"/>
      <c r="B1395" s="17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</row>
    <row r="1396" spans="1:42" s="24" customFormat="1" x14ac:dyDescent="0.3">
      <c r="A1396" s="26"/>
      <c r="B1396" s="17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</row>
    <row r="1397" spans="1:42" s="24" customFormat="1" x14ac:dyDescent="0.3">
      <c r="A1397" s="26"/>
      <c r="B1397" s="1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</row>
    <row r="1398" spans="1:42" s="24" customFormat="1" x14ac:dyDescent="0.3">
      <c r="A1398" s="26"/>
      <c r="B1398" s="17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</row>
    <row r="1399" spans="1:42" s="24" customFormat="1" x14ac:dyDescent="0.3">
      <c r="A1399" s="26"/>
      <c r="B1399" s="17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</row>
    <row r="1400" spans="1:42" s="24" customFormat="1" x14ac:dyDescent="0.3">
      <c r="A1400" s="26"/>
      <c r="B1400" s="17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</row>
    <row r="1401" spans="1:42" s="24" customFormat="1" x14ac:dyDescent="0.3">
      <c r="A1401" s="26"/>
      <c r="B1401" s="17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</row>
    <row r="1402" spans="1:42" s="24" customFormat="1" x14ac:dyDescent="0.3">
      <c r="A1402" s="26"/>
      <c r="B1402" s="17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</row>
    <row r="1403" spans="1:42" s="24" customFormat="1" x14ac:dyDescent="0.3">
      <c r="A1403" s="26"/>
      <c r="B1403" s="17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</row>
    <row r="1404" spans="1:42" s="24" customFormat="1" x14ac:dyDescent="0.3">
      <c r="A1404" s="26"/>
      <c r="B1404" s="17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</row>
    <row r="1405" spans="1:42" s="24" customFormat="1" x14ac:dyDescent="0.3">
      <c r="A1405" s="26"/>
      <c r="B1405" s="17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</row>
    <row r="1406" spans="1:42" s="24" customFormat="1" x14ac:dyDescent="0.3">
      <c r="A1406" s="26"/>
      <c r="B1406" s="17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</row>
    <row r="1407" spans="1:42" s="24" customFormat="1" x14ac:dyDescent="0.3">
      <c r="A1407" s="26"/>
      <c r="B1407" s="1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</row>
    <row r="1408" spans="1:42" s="24" customFormat="1" x14ac:dyDescent="0.3">
      <c r="A1408" s="26"/>
      <c r="B1408" s="17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</row>
    <row r="1409" spans="1:42" s="24" customFormat="1" x14ac:dyDescent="0.3">
      <c r="A1409" s="26"/>
      <c r="B1409" s="17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</row>
    <row r="1410" spans="1:42" s="24" customFormat="1" x14ac:dyDescent="0.3">
      <c r="A1410" s="26"/>
      <c r="B1410" s="17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</row>
    <row r="1411" spans="1:42" s="24" customFormat="1" x14ac:dyDescent="0.3">
      <c r="A1411" s="26"/>
      <c r="B1411" s="17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</row>
    <row r="1412" spans="1:42" s="24" customFormat="1" x14ac:dyDescent="0.3">
      <c r="A1412" s="26"/>
      <c r="B1412" s="17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</row>
    <row r="1413" spans="1:42" s="24" customFormat="1" x14ac:dyDescent="0.3">
      <c r="A1413" s="26"/>
      <c r="B1413" s="17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</row>
    <row r="1414" spans="1:42" s="24" customFormat="1" x14ac:dyDescent="0.3">
      <c r="A1414" s="26"/>
      <c r="B1414" s="17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</row>
    <row r="1415" spans="1:42" s="24" customFormat="1" x14ac:dyDescent="0.3">
      <c r="A1415" s="26"/>
      <c r="B1415" s="17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</row>
    <row r="1416" spans="1:42" s="24" customFormat="1" x14ac:dyDescent="0.3">
      <c r="A1416" s="26"/>
      <c r="B1416" s="17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</row>
    <row r="1417" spans="1:42" s="24" customFormat="1" x14ac:dyDescent="0.3">
      <c r="A1417" s="26"/>
      <c r="B1417" s="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</row>
    <row r="1418" spans="1:42" s="24" customFormat="1" x14ac:dyDescent="0.3">
      <c r="A1418" s="26"/>
      <c r="B1418" s="17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</row>
    <row r="1419" spans="1:42" s="24" customFormat="1" x14ac:dyDescent="0.3">
      <c r="A1419" s="26"/>
      <c r="B1419" s="17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</row>
    <row r="1420" spans="1:42" s="24" customFormat="1" x14ac:dyDescent="0.3">
      <c r="A1420" s="26"/>
      <c r="B1420" s="17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</row>
    <row r="1421" spans="1:42" s="24" customFormat="1" x14ac:dyDescent="0.3">
      <c r="A1421" s="26"/>
      <c r="B1421" s="17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</row>
    <row r="1422" spans="1:42" s="24" customFormat="1" x14ac:dyDescent="0.3">
      <c r="A1422" s="26"/>
      <c r="B1422" s="17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</row>
    <row r="1423" spans="1:42" s="24" customFormat="1" x14ac:dyDescent="0.3">
      <c r="A1423" s="26"/>
      <c r="B1423" s="17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</row>
    <row r="1424" spans="1:42" s="24" customFormat="1" x14ac:dyDescent="0.3">
      <c r="A1424" s="26"/>
      <c r="B1424" s="17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</row>
    <row r="1425" spans="1:42" s="24" customFormat="1" x14ac:dyDescent="0.3">
      <c r="A1425" s="26"/>
      <c r="B1425" s="17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</row>
    <row r="1426" spans="1:42" s="24" customFormat="1" x14ac:dyDescent="0.3">
      <c r="A1426" s="26"/>
      <c r="B1426" s="17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</row>
    <row r="1427" spans="1:42" s="24" customFormat="1" x14ac:dyDescent="0.3">
      <c r="A1427" s="26"/>
      <c r="B1427" s="1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</row>
    <row r="1428" spans="1:42" s="24" customFormat="1" x14ac:dyDescent="0.3">
      <c r="A1428" s="26"/>
      <c r="B1428" s="17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</row>
    <row r="1429" spans="1:42" s="24" customFormat="1" x14ac:dyDescent="0.3">
      <c r="A1429" s="26"/>
      <c r="B1429" s="17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</row>
    <row r="1430" spans="1:42" s="24" customFormat="1" x14ac:dyDescent="0.3">
      <c r="A1430" s="26"/>
      <c r="B1430" s="17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</row>
    <row r="1431" spans="1:42" s="24" customFormat="1" x14ac:dyDescent="0.3">
      <c r="A1431" s="26"/>
      <c r="B1431" s="17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</row>
    <row r="1432" spans="1:42" s="24" customFormat="1" x14ac:dyDescent="0.3">
      <c r="A1432" s="26"/>
      <c r="B1432" s="17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</row>
    <row r="1433" spans="1:42" s="24" customFormat="1" x14ac:dyDescent="0.3">
      <c r="A1433" s="26"/>
      <c r="B1433" s="17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</row>
    <row r="1434" spans="1:42" s="24" customFormat="1" x14ac:dyDescent="0.3">
      <c r="A1434" s="26"/>
      <c r="B1434" s="17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</row>
    <row r="1435" spans="1:42" s="24" customFormat="1" x14ac:dyDescent="0.3">
      <c r="A1435" s="26"/>
      <c r="B1435" s="17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</row>
    <row r="1436" spans="1:42" s="24" customFormat="1" x14ac:dyDescent="0.3">
      <c r="A1436" s="26"/>
      <c r="B1436" s="17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</row>
    <row r="1437" spans="1:42" s="24" customFormat="1" x14ac:dyDescent="0.3">
      <c r="A1437" s="26"/>
      <c r="B1437" s="1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</row>
    <row r="1438" spans="1:42" s="24" customFormat="1" x14ac:dyDescent="0.3">
      <c r="A1438" s="26"/>
      <c r="B1438" s="17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</row>
    <row r="1439" spans="1:42" s="24" customFormat="1" x14ac:dyDescent="0.3">
      <c r="A1439" s="26"/>
      <c r="B1439" s="17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</row>
    <row r="1440" spans="1:42" s="24" customFormat="1" x14ac:dyDescent="0.3">
      <c r="A1440" s="26"/>
      <c r="B1440" s="17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</row>
    <row r="1441" spans="1:42" s="24" customFormat="1" x14ac:dyDescent="0.3">
      <c r="A1441" s="26"/>
      <c r="B1441" s="17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</row>
    <row r="1442" spans="1:42" s="24" customFormat="1" x14ac:dyDescent="0.3">
      <c r="A1442" s="26"/>
      <c r="B1442" s="17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</row>
    <row r="1443" spans="1:42" s="24" customFormat="1" x14ac:dyDescent="0.3">
      <c r="A1443" s="26"/>
      <c r="B1443" s="17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</row>
    <row r="1444" spans="1:42" s="24" customFormat="1" x14ac:dyDescent="0.3">
      <c r="A1444" s="26"/>
      <c r="B1444" s="17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</row>
    <row r="1445" spans="1:42" s="24" customFormat="1" x14ac:dyDescent="0.3">
      <c r="A1445" s="26"/>
      <c r="B1445" s="17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</row>
    <row r="1446" spans="1:42" s="24" customFormat="1" x14ac:dyDescent="0.3">
      <c r="A1446" s="26"/>
      <c r="B1446" s="17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</row>
    <row r="1447" spans="1:42" s="24" customFormat="1" x14ac:dyDescent="0.3">
      <c r="A1447" s="26"/>
      <c r="B1447" s="1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</row>
    <row r="1448" spans="1:42" s="24" customFormat="1" x14ac:dyDescent="0.3">
      <c r="A1448" s="26"/>
      <c r="B1448" s="17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</row>
    <row r="1449" spans="1:42" s="24" customFormat="1" x14ac:dyDescent="0.3">
      <c r="A1449" s="26"/>
      <c r="B1449" s="17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</row>
    <row r="1450" spans="1:42" s="24" customFormat="1" x14ac:dyDescent="0.3">
      <c r="A1450" s="26"/>
      <c r="B1450" s="17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</row>
    <row r="1451" spans="1:42" s="24" customFormat="1" x14ac:dyDescent="0.3">
      <c r="A1451" s="26"/>
      <c r="B1451" s="17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</row>
    <row r="1452" spans="1:42" s="24" customFormat="1" x14ac:dyDescent="0.3">
      <c r="A1452" s="26"/>
      <c r="B1452" s="17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</row>
    <row r="1453" spans="1:42" s="24" customFormat="1" x14ac:dyDescent="0.3">
      <c r="A1453" s="26"/>
      <c r="B1453" s="17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</row>
    <row r="1454" spans="1:42" s="24" customFormat="1" x14ac:dyDescent="0.3">
      <c r="A1454" s="26"/>
      <c r="B1454" s="17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</row>
    <row r="1455" spans="1:42" s="24" customFormat="1" x14ac:dyDescent="0.3">
      <c r="A1455" s="26"/>
      <c r="B1455" s="17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</row>
    <row r="1456" spans="1:42" s="24" customFormat="1" x14ac:dyDescent="0.3">
      <c r="A1456" s="26"/>
      <c r="B1456" s="17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</row>
    <row r="1457" spans="1:42" s="24" customFormat="1" x14ac:dyDescent="0.3">
      <c r="A1457" s="26"/>
      <c r="B1457" s="1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</row>
    <row r="1458" spans="1:42" s="24" customFormat="1" x14ac:dyDescent="0.3">
      <c r="A1458" s="26"/>
      <c r="B1458" s="17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</row>
    <row r="1459" spans="1:42" s="24" customFormat="1" x14ac:dyDescent="0.3">
      <c r="A1459" s="26"/>
      <c r="B1459" s="17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</row>
    <row r="1460" spans="1:42" s="24" customFormat="1" x14ac:dyDescent="0.3">
      <c r="A1460" s="26"/>
      <c r="B1460" s="17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</row>
    <row r="1461" spans="1:42" s="24" customFormat="1" x14ac:dyDescent="0.3">
      <c r="A1461" s="26"/>
      <c r="B1461" s="17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</row>
    <row r="1462" spans="1:42" s="24" customFormat="1" x14ac:dyDescent="0.3">
      <c r="A1462" s="26"/>
      <c r="B1462" s="17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</row>
    <row r="1463" spans="1:42" s="24" customFormat="1" x14ac:dyDescent="0.3">
      <c r="A1463" s="26"/>
      <c r="B1463" s="17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</row>
    <row r="1464" spans="1:42" s="24" customFormat="1" x14ac:dyDescent="0.3">
      <c r="A1464" s="26"/>
      <c r="B1464" s="17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</row>
    <row r="1465" spans="1:42" s="24" customFormat="1" x14ac:dyDescent="0.3">
      <c r="A1465" s="26"/>
      <c r="B1465" s="17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</row>
    <row r="1466" spans="1:42" s="24" customFormat="1" x14ac:dyDescent="0.3">
      <c r="A1466" s="26"/>
      <c r="B1466" s="17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</row>
    <row r="1467" spans="1:42" s="24" customFormat="1" x14ac:dyDescent="0.3">
      <c r="A1467" s="26"/>
      <c r="B1467" s="1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</row>
    <row r="1468" spans="1:42" s="24" customFormat="1" x14ac:dyDescent="0.3">
      <c r="A1468" s="26"/>
      <c r="B1468" s="17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</row>
    <row r="1469" spans="1:42" s="24" customFormat="1" x14ac:dyDescent="0.3">
      <c r="A1469" s="26"/>
      <c r="B1469" s="17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</row>
    <row r="1470" spans="1:42" s="24" customFormat="1" x14ac:dyDescent="0.3">
      <c r="A1470" s="26"/>
      <c r="B1470" s="17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</row>
    <row r="1471" spans="1:42" s="24" customFormat="1" x14ac:dyDescent="0.3">
      <c r="A1471" s="26"/>
      <c r="B1471" s="17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</row>
    <row r="1472" spans="1:42" s="24" customFormat="1" x14ac:dyDescent="0.3">
      <c r="A1472" s="26"/>
      <c r="B1472" s="17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</row>
    <row r="1473" spans="1:42" s="24" customFormat="1" x14ac:dyDescent="0.3">
      <c r="A1473" s="26"/>
      <c r="B1473" s="17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</row>
    <row r="1474" spans="1:42" s="24" customFormat="1" x14ac:dyDescent="0.3">
      <c r="A1474" s="26"/>
      <c r="B1474" s="17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</row>
    <row r="1475" spans="1:42" s="24" customFormat="1" x14ac:dyDescent="0.3">
      <c r="A1475" s="26"/>
      <c r="B1475" s="17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</row>
    <row r="1476" spans="1:42" s="24" customFormat="1" x14ac:dyDescent="0.3">
      <c r="A1476" s="26"/>
      <c r="B1476" s="17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</row>
    <row r="1477" spans="1:42" s="24" customFormat="1" x14ac:dyDescent="0.3">
      <c r="A1477" s="26"/>
      <c r="B1477" s="1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</row>
    <row r="1478" spans="1:42" s="24" customFormat="1" x14ac:dyDescent="0.3">
      <c r="A1478" s="26"/>
      <c r="B1478" s="17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</row>
    <row r="1479" spans="1:42" s="24" customFormat="1" x14ac:dyDescent="0.3">
      <c r="A1479" s="26"/>
      <c r="B1479" s="17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</row>
    <row r="1480" spans="1:42" s="24" customFormat="1" x14ac:dyDescent="0.3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</row>
    <row r="1481" spans="1:42" s="24" customFormat="1" x14ac:dyDescent="0.3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</row>
    <row r="1482" spans="1:42" s="24" customFormat="1" x14ac:dyDescent="0.3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</row>
    <row r="1483" spans="1:42" s="24" customFormat="1" x14ac:dyDescent="0.3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</row>
    <row r="1484" spans="1:42" s="24" customFormat="1" x14ac:dyDescent="0.3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</row>
    <row r="1485" spans="1:42" s="24" customFormat="1" x14ac:dyDescent="0.3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</row>
    <row r="1486" spans="1:42" s="24" customFormat="1" x14ac:dyDescent="0.3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</row>
    <row r="1487" spans="1:42" s="24" customFormat="1" x14ac:dyDescent="0.3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</row>
    <row r="1488" spans="1:42" s="24" customFormat="1" x14ac:dyDescent="0.3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</row>
    <row r="1489" spans="1:42" s="24" customFormat="1" x14ac:dyDescent="0.3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</row>
    <row r="1490" spans="1:42" s="24" customFormat="1" x14ac:dyDescent="0.3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</row>
    <row r="1491" spans="1:42" s="24" customFormat="1" x14ac:dyDescent="0.3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</row>
    <row r="1492" spans="1:42" s="24" customFormat="1" x14ac:dyDescent="0.3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</row>
    <row r="1493" spans="1:42" s="24" customFormat="1" x14ac:dyDescent="0.3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</row>
    <row r="1494" spans="1:42" s="24" customFormat="1" x14ac:dyDescent="0.3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</row>
    <row r="1495" spans="1:42" s="24" customFormat="1" x14ac:dyDescent="0.3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</row>
    <row r="1496" spans="1:42" s="24" customFormat="1" x14ac:dyDescent="0.3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</row>
    <row r="1497" spans="1:42" s="24" customFormat="1" x14ac:dyDescent="0.3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</row>
    <row r="1498" spans="1:42" s="24" customFormat="1" x14ac:dyDescent="0.3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</row>
    <row r="1499" spans="1:42" s="24" customFormat="1" x14ac:dyDescent="0.3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</row>
    <row r="1500" spans="1:42" s="24" customFormat="1" x14ac:dyDescent="0.3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</row>
    <row r="1501" spans="1:42" s="24" customFormat="1" x14ac:dyDescent="0.3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</row>
    <row r="1502" spans="1:42" s="24" customFormat="1" x14ac:dyDescent="0.3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</row>
    <row r="1503" spans="1:42" s="24" customFormat="1" x14ac:dyDescent="0.3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</row>
    <row r="1504" spans="1:42" s="24" customFormat="1" x14ac:dyDescent="0.3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</row>
    <row r="1505" spans="1:42" s="24" customFormat="1" x14ac:dyDescent="0.3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</row>
    <row r="1506" spans="1:42" s="24" customFormat="1" x14ac:dyDescent="0.3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</row>
    <row r="1507" spans="1:42" s="24" customFormat="1" x14ac:dyDescent="0.3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</row>
    <row r="1508" spans="1:42" s="24" customFormat="1" x14ac:dyDescent="0.3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</row>
    <row r="1509" spans="1:42" s="24" customFormat="1" x14ac:dyDescent="0.3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</row>
    <row r="1510" spans="1:42" s="24" customFormat="1" x14ac:dyDescent="0.3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</row>
    <row r="1511" spans="1:42" s="24" customFormat="1" x14ac:dyDescent="0.3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</row>
    <row r="1512" spans="1:42" s="24" customFormat="1" x14ac:dyDescent="0.3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</row>
    <row r="1513" spans="1:42" s="24" customFormat="1" x14ac:dyDescent="0.3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</row>
    <row r="1514" spans="1:42" s="24" customFormat="1" x14ac:dyDescent="0.3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</row>
    <row r="1515" spans="1:42" s="24" customFormat="1" x14ac:dyDescent="0.3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</row>
    <row r="1516" spans="1:42" s="24" customFormat="1" x14ac:dyDescent="0.3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</row>
    <row r="1517" spans="1:42" s="24" customFormat="1" x14ac:dyDescent="0.3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</row>
    <row r="1518" spans="1:42" s="24" customFormat="1" x14ac:dyDescent="0.3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</row>
    <row r="1519" spans="1:42" s="24" customFormat="1" x14ac:dyDescent="0.3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</row>
    <row r="1520" spans="1:42" s="24" customFormat="1" x14ac:dyDescent="0.3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</row>
    <row r="1521" spans="1:42" s="24" customFormat="1" x14ac:dyDescent="0.3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</row>
    <row r="1522" spans="1:42" s="24" customFormat="1" x14ac:dyDescent="0.3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</row>
    <row r="1523" spans="1:42" s="24" customFormat="1" x14ac:dyDescent="0.3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</row>
    <row r="1524" spans="1:42" s="24" customFormat="1" x14ac:dyDescent="0.3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</row>
    <row r="1525" spans="1:42" s="24" customFormat="1" x14ac:dyDescent="0.3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</row>
    <row r="1526" spans="1:42" s="24" customFormat="1" x14ac:dyDescent="0.3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</row>
    <row r="1527" spans="1:42" s="24" customFormat="1" x14ac:dyDescent="0.3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</row>
    <row r="1528" spans="1:42" s="24" customFormat="1" x14ac:dyDescent="0.3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</row>
    <row r="1529" spans="1:42" s="24" customFormat="1" x14ac:dyDescent="0.3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</row>
    <row r="1530" spans="1:42" s="24" customFormat="1" x14ac:dyDescent="0.3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</row>
    <row r="1531" spans="1:42" s="24" customFormat="1" x14ac:dyDescent="0.3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</row>
    <row r="1532" spans="1:42" s="24" customFormat="1" x14ac:dyDescent="0.3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</row>
    <row r="1533" spans="1:42" s="24" customFormat="1" x14ac:dyDescent="0.3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</row>
    <row r="1534" spans="1:42" s="24" customFormat="1" x14ac:dyDescent="0.3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</row>
    <row r="1535" spans="1:42" s="24" customFormat="1" x14ac:dyDescent="0.3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</row>
    <row r="1536" spans="1:42" s="24" customFormat="1" x14ac:dyDescent="0.3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</row>
    <row r="1537" spans="1:42" s="24" customFormat="1" x14ac:dyDescent="0.3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</row>
    <row r="1538" spans="1:42" s="24" customFormat="1" x14ac:dyDescent="0.3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</row>
    <row r="1539" spans="1:42" s="24" customFormat="1" x14ac:dyDescent="0.3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</row>
    <row r="1540" spans="1:42" s="24" customFormat="1" x14ac:dyDescent="0.3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</row>
    <row r="1541" spans="1:42" s="24" customFormat="1" x14ac:dyDescent="0.3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</row>
    <row r="1542" spans="1:42" s="24" customFormat="1" x14ac:dyDescent="0.3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</row>
    <row r="1543" spans="1:42" s="24" customFormat="1" x14ac:dyDescent="0.3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</row>
    <row r="1544" spans="1:42" s="24" customFormat="1" x14ac:dyDescent="0.3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</row>
    <row r="1545" spans="1:42" s="24" customFormat="1" x14ac:dyDescent="0.3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</row>
    <row r="1546" spans="1:42" s="24" customFormat="1" x14ac:dyDescent="0.3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</row>
    <row r="1547" spans="1:42" s="24" customFormat="1" x14ac:dyDescent="0.3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</row>
    <row r="1548" spans="1:42" s="24" customFormat="1" x14ac:dyDescent="0.3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</row>
    <row r="1549" spans="1:42" s="24" customFormat="1" x14ac:dyDescent="0.3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</row>
    <row r="1550" spans="1:42" s="24" customFormat="1" x14ac:dyDescent="0.3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</row>
    <row r="1551" spans="1:42" s="24" customFormat="1" x14ac:dyDescent="0.3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</row>
    <row r="1552" spans="1:42" s="24" customFormat="1" x14ac:dyDescent="0.3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</row>
    <row r="1553" spans="1:42" s="24" customFormat="1" x14ac:dyDescent="0.3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</row>
    <row r="1554" spans="1:42" s="24" customFormat="1" x14ac:dyDescent="0.3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</row>
    <row r="1555" spans="1:42" s="24" customFormat="1" x14ac:dyDescent="0.3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</row>
    <row r="1556" spans="1:42" s="24" customFormat="1" x14ac:dyDescent="0.3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</row>
    <row r="1557" spans="1:42" s="24" customFormat="1" x14ac:dyDescent="0.3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</row>
    <row r="1558" spans="1:42" s="24" customFormat="1" x14ac:dyDescent="0.3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</row>
    <row r="1559" spans="1:42" s="24" customFormat="1" x14ac:dyDescent="0.3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</row>
    <row r="1560" spans="1:42" s="24" customFormat="1" x14ac:dyDescent="0.3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</row>
    <row r="1561" spans="1:42" s="24" customFormat="1" x14ac:dyDescent="0.3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</row>
    <row r="1562" spans="1:42" s="24" customFormat="1" x14ac:dyDescent="0.3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</row>
    <row r="1563" spans="1:42" s="24" customFormat="1" x14ac:dyDescent="0.3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</row>
    <row r="1564" spans="1:42" s="24" customFormat="1" x14ac:dyDescent="0.3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</row>
    <row r="1565" spans="1:42" s="24" customFormat="1" x14ac:dyDescent="0.3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</row>
    <row r="1566" spans="1:42" s="24" customFormat="1" x14ac:dyDescent="0.3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</row>
    <row r="1567" spans="1:42" s="24" customFormat="1" x14ac:dyDescent="0.3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</row>
    <row r="1568" spans="1:42" s="24" customFormat="1" x14ac:dyDescent="0.3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</row>
    <row r="1569" spans="1:42" s="24" customFormat="1" x14ac:dyDescent="0.3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</row>
    <row r="1570" spans="1:42" s="24" customFormat="1" x14ac:dyDescent="0.3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</row>
    <row r="1571" spans="1:42" s="24" customFormat="1" x14ac:dyDescent="0.3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</row>
    <row r="1572" spans="1:42" s="24" customFormat="1" x14ac:dyDescent="0.3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</row>
    <row r="1573" spans="1:42" s="24" customFormat="1" x14ac:dyDescent="0.3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</row>
    <row r="1574" spans="1:42" s="24" customFormat="1" x14ac:dyDescent="0.3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</row>
    <row r="1575" spans="1:42" s="24" customFormat="1" x14ac:dyDescent="0.3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</row>
    <row r="1576" spans="1:42" s="24" customFormat="1" x14ac:dyDescent="0.3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</row>
    <row r="1577" spans="1:42" s="24" customFormat="1" x14ac:dyDescent="0.3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</row>
    <row r="1578" spans="1:42" s="24" customFormat="1" x14ac:dyDescent="0.3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</row>
    <row r="1579" spans="1:42" s="24" customFormat="1" x14ac:dyDescent="0.3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</row>
    <row r="1580" spans="1:42" s="24" customFormat="1" x14ac:dyDescent="0.3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</row>
    <row r="1581" spans="1:42" s="24" customFormat="1" x14ac:dyDescent="0.3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</row>
    <row r="1582" spans="1:42" s="24" customFormat="1" x14ac:dyDescent="0.3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</row>
    <row r="1583" spans="1:42" s="24" customFormat="1" x14ac:dyDescent="0.3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</row>
    <row r="1584" spans="1:42" s="24" customFormat="1" x14ac:dyDescent="0.3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</row>
    <row r="1585" spans="1:42" s="24" customFormat="1" x14ac:dyDescent="0.3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</row>
    <row r="1586" spans="1:42" s="24" customFormat="1" x14ac:dyDescent="0.3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</row>
    <row r="1587" spans="1:42" s="24" customFormat="1" x14ac:dyDescent="0.3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</row>
    <row r="1588" spans="1:42" s="24" customFormat="1" x14ac:dyDescent="0.3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</row>
    <row r="1589" spans="1:42" s="24" customFormat="1" x14ac:dyDescent="0.3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</row>
    <row r="1590" spans="1:42" s="24" customFormat="1" x14ac:dyDescent="0.3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</row>
    <row r="1591" spans="1:42" s="24" customFormat="1" x14ac:dyDescent="0.3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</row>
    <row r="1592" spans="1:42" s="24" customFormat="1" x14ac:dyDescent="0.3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</row>
    <row r="1593" spans="1:42" s="24" customFormat="1" x14ac:dyDescent="0.3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</row>
    <row r="1594" spans="1:42" s="24" customFormat="1" x14ac:dyDescent="0.3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</row>
    <row r="1595" spans="1:42" s="24" customFormat="1" x14ac:dyDescent="0.3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</row>
    <row r="1596" spans="1:42" s="24" customFormat="1" x14ac:dyDescent="0.3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</row>
    <row r="1597" spans="1:42" s="24" customFormat="1" x14ac:dyDescent="0.3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</row>
    <row r="1598" spans="1:42" s="24" customFormat="1" x14ac:dyDescent="0.3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</row>
    <row r="1599" spans="1:42" s="24" customFormat="1" x14ac:dyDescent="0.3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</row>
    <row r="1600" spans="1:42" s="24" customFormat="1" x14ac:dyDescent="0.3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</row>
    <row r="1601" spans="1:42" s="24" customFormat="1" x14ac:dyDescent="0.3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</row>
    <row r="1602" spans="1:42" s="24" customFormat="1" x14ac:dyDescent="0.3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</row>
    <row r="1603" spans="1:42" s="24" customFormat="1" x14ac:dyDescent="0.3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</row>
    <row r="1604" spans="1:42" s="24" customFormat="1" x14ac:dyDescent="0.3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</row>
    <row r="1605" spans="1:42" s="24" customFormat="1" x14ac:dyDescent="0.3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</row>
    <row r="1606" spans="1:42" s="24" customFormat="1" x14ac:dyDescent="0.3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</row>
    <row r="1607" spans="1:42" s="24" customFormat="1" x14ac:dyDescent="0.3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</row>
    <row r="1608" spans="1:42" s="24" customFormat="1" x14ac:dyDescent="0.3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</row>
    <row r="1609" spans="1:42" s="24" customFormat="1" x14ac:dyDescent="0.3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</row>
    <row r="1610" spans="1:42" s="24" customFormat="1" x14ac:dyDescent="0.3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</row>
    <row r="1611" spans="1:42" s="24" customFormat="1" x14ac:dyDescent="0.3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</row>
    <row r="1612" spans="1:42" s="24" customFormat="1" x14ac:dyDescent="0.3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</row>
    <row r="1613" spans="1:42" s="24" customFormat="1" x14ac:dyDescent="0.3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</row>
    <row r="1614" spans="1:42" s="24" customFormat="1" x14ac:dyDescent="0.3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</row>
    <row r="1615" spans="1:42" s="24" customFormat="1" x14ac:dyDescent="0.3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</row>
    <row r="1616" spans="1:42" s="24" customFormat="1" x14ac:dyDescent="0.3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</row>
    <row r="1617" spans="1:42" s="24" customFormat="1" x14ac:dyDescent="0.3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</row>
    <row r="1618" spans="1:42" s="24" customFormat="1" x14ac:dyDescent="0.3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</row>
    <row r="1619" spans="1:42" s="24" customFormat="1" x14ac:dyDescent="0.3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</row>
    <row r="1620" spans="1:42" s="24" customFormat="1" x14ac:dyDescent="0.3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</row>
    <row r="1621" spans="1:42" s="24" customFormat="1" x14ac:dyDescent="0.3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</row>
    <row r="1622" spans="1:42" s="24" customFormat="1" x14ac:dyDescent="0.3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</row>
    <row r="1623" spans="1:42" s="24" customFormat="1" x14ac:dyDescent="0.3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</row>
    <row r="1624" spans="1:42" s="24" customFormat="1" x14ac:dyDescent="0.3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</row>
    <row r="1625" spans="1:42" s="24" customFormat="1" x14ac:dyDescent="0.3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</row>
    <row r="1626" spans="1:42" s="24" customFormat="1" x14ac:dyDescent="0.3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</row>
    <row r="1627" spans="1:42" s="24" customFormat="1" x14ac:dyDescent="0.3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</row>
    <row r="1628" spans="1:42" s="24" customFormat="1" x14ac:dyDescent="0.3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</row>
    <row r="1629" spans="1:42" s="24" customFormat="1" x14ac:dyDescent="0.3">
      <c r="A1629" s="26"/>
      <c r="B1629" s="17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</row>
    <row r="1630" spans="1:42" s="24" customFormat="1" x14ac:dyDescent="0.3">
      <c r="A1630" s="26"/>
      <c r="B1630" s="17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</row>
    <row r="1631" spans="1:42" s="24" customFormat="1" x14ac:dyDescent="0.3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</row>
    <row r="1632" spans="1:42" s="24" customFormat="1" x14ac:dyDescent="0.3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</row>
    <row r="1633" spans="1:42" s="24" customFormat="1" x14ac:dyDescent="0.3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</row>
    <row r="1634" spans="1:42" s="24" customFormat="1" x14ac:dyDescent="0.3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</row>
    <row r="1635" spans="1:42" s="24" customFormat="1" x14ac:dyDescent="0.3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</row>
    <row r="1636" spans="1:42" s="24" customFormat="1" x14ac:dyDescent="0.3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</row>
    <row r="1637" spans="1:42" s="24" customFormat="1" x14ac:dyDescent="0.3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</row>
    <row r="1638" spans="1:42" s="24" customFormat="1" x14ac:dyDescent="0.3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</row>
    <row r="1639" spans="1:42" s="24" customFormat="1" x14ac:dyDescent="0.3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</row>
    <row r="1640" spans="1:42" s="24" customFormat="1" x14ac:dyDescent="0.3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</row>
    <row r="1641" spans="1:42" s="24" customFormat="1" x14ac:dyDescent="0.3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</row>
    <row r="1642" spans="1:42" s="24" customFormat="1" x14ac:dyDescent="0.3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</row>
    <row r="1643" spans="1:42" s="24" customFormat="1" x14ac:dyDescent="0.3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</row>
    <row r="1644" spans="1:42" s="24" customFormat="1" x14ac:dyDescent="0.3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</row>
    <row r="1645" spans="1:42" s="24" customFormat="1" x14ac:dyDescent="0.3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</row>
    <row r="1646" spans="1:42" s="24" customFormat="1" x14ac:dyDescent="0.3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</row>
    <row r="1647" spans="1:42" s="24" customFormat="1" x14ac:dyDescent="0.3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</row>
    <row r="1648" spans="1:42" s="24" customFormat="1" x14ac:dyDescent="0.3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</row>
    <row r="1649" spans="1:42" s="24" customFormat="1" x14ac:dyDescent="0.3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</row>
    <row r="1650" spans="1:42" s="24" customFormat="1" x14ac:dyDescent="0.3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</row>
    <row r="1651" spans="1:42" s="24" customFormat="1" x14ac:dyDescent="0.3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</row>
    <row r="1652" spans="1:42" s="24" customFormat="1" x14ac:dyDescent="0.3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</row>
    <row r="1653" spans="1:42" s="24" customFormat="1" x14ac:dyDescent="0.3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</row>
    <row r="1654" spans="1:42" s="24" customFormat="1" x14ac:dyDescent="0.3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</row>
    <row r="1655" spans="1:42" s="24" customFormat="1" x14ac:dyDescent="0.3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</row>
    <row r="1656" spans="1:42" s="24" customFormat="1" x14ac:dyDescent="0.3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</row>
    <row r="1657" spans="1:42" s="24" customFormat="1" x14ac:dyDescent="0.3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</row>
    <row r="1658" spans="1:42" s="24" customFormat="1" x14ac:dyDescent="0.3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</row>
    <row r="1659" spans="1:42" s="24" customFormat="1" x14ac:dyDescent="0.3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</row>
    <row r="1660" spans="1:42" s="24" customFormat="1" x14ac:dyDescent="0.3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</row>
    <row r="1661" spans="1:42" s="24" customFormat="1" x14ac:dyDescent="0.3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</row>
    <row r="1662" spans="1:42" s="24" customFormat="1" x14ac:dyDescent="0.3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</row>
    <row r="1663" spans="1:42" s="24" customFormat="1" x14ac:dyDescent="0.3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</row>
    <row r="1664" spans="1:42" s="24" customFormat="1" x14ac:dyDescent="0.3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</row>
    <row r="1665" spans="1:42" s="24" customFormat="1" x14ac:dyDescent="0.3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</row>
    <row r="1666" spans="1:42" s="24" customFormat="1" x14ac:dyDescent="0.3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</row>
    <row r="1667" spans="1:42" s="24" customFormat="1" x14ac:dyDescent="0.3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</row>
    <row r="1668" spans="1:42" s="24" customFormat="1" x14ac:dyDescent="0.3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</row>
    <row r="1669" spans="1:42" s="24" customFormat="1" x14ac:dyDescent="0.3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</row>
    <row r="1670" spans="1:42" s="24" customFormat="1" x14ac:dyDescent="0.3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</row>
    <row r="1671" spans="1:42" s="24" customFormat="1" x14ac:dyDescent="0.3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</row>
    <row r="1672" spans="1:42" s="24" customFormat="1" x14ac:dyDescent="0.3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</row>
    <row r="1673" spans="1:42" s="24" customFormat="1" x14ac:dyDescent="0.3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</row>
    <row r="1674" spans="1:42" s="24" customFormat="1" x14ac:dyDescent="0.3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</row>
    <row r="1675" spans="1:42" s="24" customFormat="1" x14ac:dyDescent="0.3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</row>
    <row r="1676" spans="1:42" s="24" customFormat="1" x14ac:dyDescent="0.3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</row>
    <row r="1677" spans="1:42" s="24" customFormat="1" x14ac:dyDescent="0.3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</row>
    <row r="1678" spans="1:42" s="24" customFormat="1" x14ac:dyDescent="0.3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</row>
    <row r="1679" spans="1:42" s="24" customFormat="1" x14ac:dyDescent="0.3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</row>
    <row r="1680" spans="1:42" s="24" customFormat="1" x14ac:dyDescent="0.3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</row>
    <row r="1681" spans="1:42" s="24" customFormat="1" x14ac:dyDescent="0.3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</row>
    <row r="1682" spans="1:42" s="24" customFormat="1" x14ac:dyDescent="0.3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</row>
    <row r="1683" spans="1:42" s="24" customFormat="1" x14ac:dyDescent="0.3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</row>
    <row r="1684" spans="1:42" s="24" customFormat="1" x14ac:dyDescent="0.3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</row>
    <row r="1685" spans="1:42" s="24" customFormat="1" x14ac:dyDescent="0.3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</row>
    <row r="1686" spans="1:42" s="24" customFormat="1" x14ac:dyDescent="0.3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</row>
    <row r="1687" spans="1:42" s="24" customFormat="1" x14ac:dyDescent="0.3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</row>
    <row r="1688" spans="1:42" s="24" customFormat="1" x14ac:dyDescent="0.3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</row>
    <row r="1689" spans="1:42" s="24" customFormat="1" x14ac:dyDescent="0.3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</row>
    <row r="1690" spans="1:42" s="24" customFormat="1" x14ac:dyDescent="0.3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</row>
    <row r="1691" spans="1:42" s="24" customFormat="1" x14ac:dyDescent="0.3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</row>
    <row r="1692" spans="1:42" s="24" customFormat="1" x14ac:dyDescent="0.3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</row>
    <row r="1693" spans="1:42" s="24" customFormat="1" x14ac:dyDescent="0.3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</row>
    <row r="1694" spans="1:42" s="24" customFormat="1" x14ac:dyDescent="0.3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</row>
    <row r="1695" spans="1:42" s="24" customFormat="1" x14ac:dyDescent="0.3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</row>
    <row r="1696" spans="1:42" s="24" customFormat="1" x14ac:dyDescent="0.3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</row>
    <row r="1697" spans="1:42" s="24" customFormat="1" x14ac:dyDescent="0.3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</row>
    <row r="1698" spans="1:42" s="24" customFormat="1" x14ac:dyDescent="0.3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</row>
    <row r="1699" spans="1:42" s="24" customFormat="1" x14ac:dyDescent="0.3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</row>
    <row r="1700" spans="1:42" s="24" customFormat="1" x14ac:dyDescent="0.3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</row>
    <row r="1701" spans="1:42" s="24" customFormat="1" x14ac:dyDescent="0.3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</row>
    <row r="1702" spans="1:42" s="24" customFormat="1" x14ac:dyDescent="0.3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</row>
    <row r="1703" spans="1:42" s="24" customFormat="1" x14ac:dyDescent="0.3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</row>
    <row r="1704" spans="1:42" s="24" customFormat="1" x14ac:dyDescent="0.3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</row>
    <row r="1705" spans="1:42" s="24" customFormat="1" x14ac:dyDescent="0.3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</row>
    <row r="1706" spans="1:42" s="24" customFormat="1" x14ac:dyDescent="0.3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</row>
    <row r="1707" spans="1:42" s="24" customFormat="1" x14ac:dyDescent="0.3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</row>
    <row r="1708" spans="1:42" s="24" customFormat="1" x14ac:dyDescent="0.3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</row>
    <row r="1709" spans="1:42" s="24" customFormat="1" x14ac:dyDescent="0.3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</row>
    <row r="1710" spans="1:42" s="24" customFormat="1" x14ac:dyDescent="0.3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</row>
    <row r="1711" spans="1:42" s="24" customFormat="1" x14ac:dyDescent="0.3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</row>
    <row r="1712" spans="1:42" s="24" customFormat="1" x14ac:dyDescent="0.3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</row>
    <row r="1713" spans="1:42" s="24" customFormat="1" x14ac:dyDescent="0.3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</row>
    <row r="1714" spans="1:42" s="24" customFormat="1" x14ac:dyDescent="0.3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</row>
    <row r="1715" spans="1:42" s="24" customFormat="1" x14ac:dyDescent="0.3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</row>
    <row r="1716" spans="1:42" s="24" customFormat="1" x14ac:dyDescent="0.3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</row>
    <row r="1717" spans="1:42" s="24" customFormat="1" x14ac:dyDescent="0.3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</row>
    <row r="1718" spans="1:42" s="24" customFormat="1" x14ac:dyDescent="0.3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</row>
    <row r="1719" spans="1:42" s="24" customFormat="1" x14ac:dyDescent="0.3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</row>
    <row r="1720" spans="1:42" s="24" customFormat="1" x14ac:dyDescent="0.3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</row>
    <row r="1721" spans="1:42" s="24" customFormat="1" x14ac:dyDescent="0.3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</row>
    <row r="1722" spans="1:42" s="24" customFormat="1" x14ac:dyDescent="0.3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</row>
    <row r="1723" spans="1:42" s="24" customFormat="1" x14ac:dyDescent="0.3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</row>
    <row r="1724" spans="1:42" s="24" customFormat="1" x14ac:dyDescent="0.3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</row>
    <row r="1725" spans="1:42" s="24" customFormat="1" x14ac:dyDescent="0.3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</row>
    <row r="1726" spans="1:42" s="24" customFormat="1" x14ac:dyDescent="0.3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</row>
    <row r="1727" spans="1:42" s="24" customFormat="1" x14ac:dyDescent="0.3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</row>
    <row r="1728" spans="1:42" s="24" customFormat="1" x14ac:dyDescent="0.3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</row>
    <row r="1729" spans="1:42" s="24" customFormat="1" x14ac:dyDescent="0.3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</row>
    <row r="1730" spans="1:42" s="24" customFormat="1" x14ac:dyDescent="0.3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</row>
    <row r="1731" spans="1:42" s="24" customFormat="1" x14ac:dyDescent="0.3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</row>
    <row r="1732" spans="1:42" s="24" customFormat="1" x14ac:dyDescent="0.3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</row>
    <row r="1733" spans="1:42" s="24" customFormat="1" x14ac:dyDescent="0.3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</row>
    <row r="1734" spans="1:42" s="24" customFormat="1" x14ac:dyDescent="0.3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</row>
    <row r="1735" spans="1:42" s="24" customFormat="1" x14ac:dyDescent="0.3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</row>
    <row r="1736" spans="1:42" s="24" customFormat="1" x14ac:dyDescent="0.3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</row>
    <row r="1737" spans="1:42" s="24" customFormat="1" x14ac:dyDescent="0.3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</row>
    <row r="1738" spans="1:42" s="24" customFormat="1" x14ac:dyDescent="0.3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</row>
    <row r="1739" spans="1:42" s="24" customFormat="1" x14ac:dyDescent="0.3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</row>
    <row r="1740" spans="1:42" s="24" customFormat="1" x14ac:dyDescent="0.3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</row>
    <row r="1741" spans="1:42" s="24" customFormat="1" x14ac:dyDescent="0.3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</row>
    <row r="1742" spans="1:42" s="24" customFormat="1" x14ac:dyDescent="0.3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</row>
    <row r="1743" spans="1:42" s="24" customFormat="1" x14ac:dyDescent="0.3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</row>
    <row r="1744" spans="1:42" s="24" customFormat="1" x14ac:dyDescent="0.3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</row>
    <row r="1745" spans="1:42" s="24" customFormat="1" x14ac:dyDescent="0.3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</row>
    <row r="1746" spans="1:42" s="24" customFormat="1" x14ac:dyDescent="0.3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</row>
    <row r="1747" spans="1:42" s="24" customFormat="1" x14ac:dyDescent="0.3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</row>
    <row r="1748" spans="1:42" s="24" customFormat="1" x14ac:dyDescent="0.3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</row>
    <row r="1749" spans="1:42" s="24" customFormat="1" x14ac:dyDescent="0.3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</row>
    <row r="1750" spans="1:42" s="24" customFormat="1" x14ac:dyDescent="0.3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</row>
    <row r="1751" spans="1:42" s="24" customFormat="1" x14ac:dyDescent="0.3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</row>
    <row r="1752" spans="1:42" s="24" customFormat="1" x14ac:dyDescent="0.3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</row>
    <row r="1753" spans="1:42" s="24" customFormat="1" x14ac:dyDescent="0.3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</row>
    <row r="1754" spans="1:42" s="24" customFormat="1" x14ac:dyDescent="0.3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</row>
    <row r="1755" spans="1:42" s="24" customFormat="1" x14ac:dyDescent="0.3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</row>
    <row r="1756" spans="1:42" s="24" customFormat="1" x14ac:dyDescent="0.3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</row>
    <row r="1757" spans="1:42" s="24" customFormat="1" x14ac:dyDescent="0.3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</row>
    <row r="1758" spans="1:42" s="24" customFormat="1" x14ac:dyDescent="0.3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</row>
    <row r="1759" spans="1:42" s="24" customFormat="1" x14ac:dyDescent="0.3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</row>
    <row r="1760" spans="1:42" s="24" customFormat="1" x14ac:dyDescent="0.3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</row>
    <row r="1761" spans="1:42" s="24" customFormat="1" x14ac:dyDescent="0.3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</row>
    <row r="1762" spans="1:42" s="24" customFormat="1" x14ac:dyDescent="0.3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</row>
    <row r="1763" spans="1:42" s="24" customFormat="1" x14ac:dyDescent="0.3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</row>
    <row r="1764" spans="1:42" s="24" customFormat="1" x14ac:dyDescent="0.3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</row>
    <row r="1765" spans="1:42" s="24" customFormat="1" x14ac:dyDescent="0.3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</row>
    <row r="1766" spans="1:42" s="24" customFormat="1" x14ac:dyDescent="0.3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</row>
    <row r="1767" spans="1:42" s="24" customFormat="1" x14ac:dyDescent="0.3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</row>
    <row r="1768" spans="1:42" s="24" customFormat="1" x14ac:dyDescent="0.3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</row>
    <row r="1769" spans="1:42" s="24" customFormat="1" x14ac:dyDescent="0.3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</row>
    <row r="1770" spans="1:42" s="24" customFormat="1" x14ac:dyDescent="0.3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</row>
    <row r="1771" spans="1:42" s="24" customFormat="1" x14ac:dyDescent="0.3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</row>
    <row r="1772" spans="1:42" s="24" customFormat="1" x14ac:dyDescent="0.3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</row>
    <row r="1773" spans="1:42" s="24" customFormat="1" x14ac:dyDescent="0.3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</row>
    <row r="1774" spans="1:42" s="24" customFormat="1" x14ac:dyDescent="0.3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</row>
    <row r="1775" spans="1:42" s="24" customFormat="1" x14ac:dyDescent="0.3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</row>
    <row r="1776" spans="1:42" s="24" customFormat="1" x14ac:dyDescent="0.3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</row>
    <row r="1777" spans="1:42" s="24" customFormat="1" x14ac:dyDescent="0.3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</row>
    <row r="1778" spans="1:42" s="24" customFormat="1" x14ac:dyDescent="0.3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</row>
    <row r="1779" spans="1:42" s="24" customFormat="1" x14ac:dyDescent="0.3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</row>
    <row r="1780" spans="1:42" s="24" customFormat="1" x14ac:dyDescent="0.3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</row>
    <row r="1781" spans="1:42" s="24" customFormat="1" x14ac:dyDescent="0.3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</row>
    <row r="1782" spans="1:42" s="24" customFormat="1" x14ac:dyDescent="0.3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</row>
    <row r="1783" spans="1:42" s="24" customFormat="1" x14ac:dyDescent="0.3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</row>
    <row r="1784" spans="1:42" s="24" customFormat="1" x14ac:dyDescent="0.3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</row>
    <row r="1785" spans="1:42" s="24" customFormat="1" x14ac:dyDescent="0.3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</row>
    <row r="1786" spans="1:42" s="24" customFormat="1" x14ac:dyDescent="0.3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</row>
    <row r="1787" spans="1:42" s="24" customFormat="1" x14ac:dyDescent="0.3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</row>
    <row r="1788" spans="1:42" s="24" customFormat="1" x14ac:dyDescent="0.3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</row>
    <row r="1789" spans="1:42" s="24" customFormat="1" x14ac:dyDescent="0.3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</row>
    <row r="1790" spans="1:42" s="24" customFormat="1" x14ac:dyDescent="0.3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</row>
    <row r="1791" spans="1:42" s="24" customFormat="1" x14ac:dyDescent="0.3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</row>
    <row r="1792" spans="1:42" s="24" customFormat="1" x14ac:dyDescent="0.3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</row>
    <row r="1793" spans="1:42" s="24" customFormat="1" x14ac:dyDescent="0.3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</row>
    <row r="1794" spans="1:42" s="24" customFormat="1" x14ac:dyDescent="0.3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</row>
    <row r="1795" spans="1:42" s="24" customFormat="1" x14ac:dyDescent="0.3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</row>
    <row r="1796" spans="1:42" s="24" customFormat="1" x14ac:dyDescent="0.3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</row>
    <row r="1797" spans="1:42" s="24" customFormat="1" x14ac:dyDescent="0.3">
      <c r="A1797" s="26"/>
      <c r="B1797" s="1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</row>
    <row r="1798" spans="1:42" s="24" customFormat="1" x14ac:dyDescent="0.3">
      <c r="A1798" s="26"/>
      <c r="B1798" s="17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</row>
    <row r="1799" spans="1:42" s="24" customFormat="1" x14ac:dyDescent="0.3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</row>
    <row r="1800" spans="1:42" s="24" customFormat="1" x14ac:dyDescent="0.3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</row>
    <row r="1801" spans="1:42" s="24" customFormat="1" x14ac:dyDescent="0.3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</row>
    <row r="1802" spans="1:42" s="24" customFormat="1" x14ac:dyDescent="0.3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</row>
    <row r="1803" spans="1:42" s="24" customFormat="1" x14ac:dyDescent="0.3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</row>
    <row r="1804" spans="1:42" s="24" customFormat="1" x14ac:dyDescent="0.3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</row>
    <row r="1805" spans="1:42" s="24" customFormat="1" x14ac:dyDescent="0.3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</row>
    <row r="1806" spans="1:42" s="24" customFormat="1" x14ac:dyDescent="0.3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</row>
    <row r="1807" spans="1:42" s="24" customFormat="1" x14ac:dyDescent="0.3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</row>
    <row r="1808" spans="1:42" s="24" customFormat="1" x14ac:dyDescent="0.3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</row>
    <row r="1809" spans="1:42" s="24" customFormat="1" x14ac:dyDescent="0.3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</row>
    <row r="1810" spans="1:42" s="24" customFormat="1" x14ac:dyDescent="0.3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</row>
    <row r="1811" spans="1:42" s="24" customFormat="1" x14ac:dyDescent="0.3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</row>
    <row r="1812" spans="1:42" s="24" customFormat="1" x14ac:dyDescent="0.3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</row>
    <row r="1813" spans="1:42" s="24" customFormat="1" x14ac:dyDescent="0.3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</row>
    <row r="1814" spans="1:42" s="24" customFormat="1" x14ac:dyDescent="0.3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</row>
    <row r="1815" spans="1:42" s="24" customFormat="1" x14ac:dyDescent="0.3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</row>
    <row r="1816" spans="1:42" s="24" customFormat="1" x14ac:dyDescent="0.3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</row>
    <row r="1817" spans="1:42" s="24" customFormat="1" x14ac:dyDescent="0.3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</row>
    <row r="1818" spans="1:42" s="24" customFormat="1" x14ac:dyDescent="0.3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</row>
    <row r="1819" spans="1:42" s="24" customFormat="1" x14ac:dyDescent="0.3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</row>
    <row r="1820" spans="1:42" s="24" customFormat="1" x14ac:dyDescent="0.3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</row>
    <row r="1821" spans="1:42" s="24" customFormat="1" x14ac:dyDescent="0.3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</row>
    <row r="1822" spans="1:42" s="24" customFormat="1" x14ac:dyDescent="0.3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</row>
    <row r="1823" spans="1:42" s="24" customFormat="1" x14ac:dyDescent="0.3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</row>
    <row r="1824" spans="1:42" s="24" customFormat="1" x14ac:dyDescent="0.3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</row>
    <row r="1825" spans="1:42" s="24" customFormat="1" x14ac:dyDescent="0.3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</row>
    <row r="1826" spans="1:42" s="24" customFormat="1" x14ac:dyDescent="0.3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</row>
    <row r="1827" spans="1:42" s="24" customFormat="1" x14ac:dyDescent="0.3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</row>
    <row r="1828" spans="1:42" s="24" customFormat="1" x14ac:dyDescent="0.3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</row>
    <row r="1829" spans="1:42" s="24" customFormat="1" x14ac:dyDescent="0.3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</row>
    <row r="1830" spans="1:42" s="24" customFormat="1" x14ac:dyDescent="0.3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</row>
    <row r="1831" spans="1:42" s="24" customFormat="1" x14ac:dyDescent="0.3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</row>
    <row r="1832" spans="1:42" s="24" customFormat="1" x14ac:dyDescent="0.3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</row>
    <row r="1833" spans="1:42" s="24" customFormat="1" x14ac:dyDescent="0.3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</row>
    <row r="1834" spans="1:42" s="24" customFormat="1" x14ac:dyDescent="0.3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</row>
    <row r="1835" spans="1:42" s="24" customFormat="1" x14ac:dyDescent="0.3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</row>
    <row r="1836" spans="1:42" s="24" customFormat="1" x14ac:dyDescent="0.3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</row>
    <row r="1837" spans="1:42" s="24" customFormat="1" x14ac:dyDescent="0.3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</row>
    <row r="1838" spans="1:42" s="24" customFormat="1" x14ac:dyDescent="0.3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</row>
    <row r="1839" spans="1:42" s="24" customFormat="1" x14ac:dyDescent="0.3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</row>
    <row r="1840" spans="1:42" s="24" customFormat="1" x14ac:dyDescent="0.3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</row>
    <row r="1841" spans="1:42" s="24" customFormat="1" x14ac:dyDescent="0.3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</row>
    <row r="1842" spans="1:42" s="24" customFormat="1" x14ac:dyDescent="0.3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</row>
    <row r="1843" spans="1:42" s="24" customFormat="1" x14ac:dyDescent="0.3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</row>
    <row r="1844" spans="1:42" s="24" customFormat="1" x14ac:dyDescent="0.3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</row>
    <row r="1845" spans="1:42" s="24" customFormat="1" x14ac:dyDescent="0.3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</row>
    <row r="1846" spans="1:42" s="24" customFormat="1" x14ac:dyDescent="0.3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</row>
    <row r="1847" spans="1:42" s="24" customFormat="1" x14ac:dyDescent="0.3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</row>
    <row r="1848" spans="1:42" s="24" customFormat="1" x14ac:dyDescent="0.3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</row>
    <row r="1849" spans="1:42" s="24" customFormat="1" x14ac:dyDescent="0.3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</row>
    <row r="1850" spans="1:42" s="24" customFormat="1" x14ac:dyDescent="0.3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</row>
    <row r="1851" spans="1:42" s="24" customFormat="1" x14ac:dyDescent="0.3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</row>
    <row r="1852" spans="1:42" s="24" customFormat="1" x14ac:dyDescent="0.3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</row>
    <row r="1853" spans="1:42" s="24" customFormat="1" x14ac:dyDescent="0.3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</row>
    <row r="1854" spans="1:42" s="24" customFormat="1" x14ac:dyDescent="0.3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</row>
    <row r="1855" spans="1:42" s="24" customFormat="1" x14ac:dyDescent="0.3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</row>
    <row r="1856" spans="1:42" s="24" customFormat="1" x14ac:dyDescent="0.3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</row>
    <row r="1857" spans="1:42" s="24" customFormat="1" x14ac:dyDescent="0.3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</row>
    <row r="1858" spans="1:42" s="24" customFormat="1" x14ac:dyDescent="0.3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</row>
    <row r="1859" spans="1:42" s="24" customFormat="1" x14ac:dyDescent="0.3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</row>
    <row r="1860" spans="1:42" s="24" customFormat="1" x14ac:dyDescent="0.3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</row>
    <row r="1861" spans="1:42" s="24" customFormat="1" x14ac:dyDescent="0.3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</row>
    <row r="1862" spans="1:42" s="24" customFormat="1" x14ac:dyDescent="0.3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</row>
    <row r="1863" spans="1:42" s="24" customFormat="1" x14ac:dyDescent="0.3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</row>
    <row r="1864" spans="1:42" s="24" customFormat="1" x14ac:dyDescent="0.3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</row>
    <row r="1865" spans="1:42" s="24" customFormat="1" x14ac:dyDescent="0.3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</row>
    <row r="1866" spans="1:42" s="24" customFormat="1" x14ac:dyDescent="0.3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</row>
    <row r="1867" spans="1:42" s="24" customFormat="1" x14ac:dyDescent="0.3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</row>
    <row r="1868" spans="1:42" s="24" customFormat="1" x14ac:dyDescent="0.3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</row>
    <row r="1869" spans="1:42" s="24" customFormat="1" x14ac:dyDescent="0.3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</row>
    <row r="1870" spans="1:42" s="24" customFormat="1" x14ac:dyDescent="0.3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</row>
    <row r="1871" spans="1:42" s="24" customFormat="1" x14ac:dyDescent="0.3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</row>
    <row r="1872" spans="1:42" s="24" customFormat="1" x14ac:dyDescent="0.3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</row>
    <row r="1873" spans="1:42" s="24" customFormat="1" x14ac:dyDescent="0.3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</row>
    <row r="1874" spans="1:42" s="24" customFormat="1" x14ac:dyDescent="0.3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</row>
    <row r="1875" spans="1:42" s="24" customFormat="1" x14ac:dyDescent="0.3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</row>
    <row r="1876" spans="1:42" s="24" customFormat="1" x14ac:dyDescent="0.3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</row>
    <row r="1877" spans="1:42" s="24" customFormat="1" x14ac:dyDescent="0.3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</row>
    <row r="1878" spans="1:42" s="24" customFormat="1" x14ac:dyDescent="0.3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</row>
    <row r="1879" spans="1:42" s="24" customFormat="1" x14ac:dyDescent="0.3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</row>
    <row r="1880" spans="1:42" s="24" customFormat="1" x14ac:dyDescent="0.3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</row>
    <row r="1881" spans="1:42" s="24" customFormat="1" x14ac:dyDescent="0.3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</row>
    <row r="1882" spans="1:42" s="24" customFormat="1" x14ac:dyDescent="0.3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</row>
    <row r="1883" spans="1:42" s="24" customFormat="1" x14ac:dyDescent="0.3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</row>
    <row r="1884" spans="1:42" s="24" customFormat="1" x14ac:dyDescent="0.3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</row>
    <row r="1885" spans="1:42" s="24" customFormat="1" x14ac:dyDescent="0.3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</row>
    <row r="1886" spans="1:42" s="24" customFormat="1" x14ac:dyDescent="0.3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</row>
    <row r="1887" spans="1:42" s="24" customFormat="1" x14ac:dyDescent="0.3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</row>
    <row r="1888" spans="1:42" s="24" customFormat="1" x14ac:dyDescent="0.3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</row>
    <row r="1889" spans="1:42" s="24" customFormat="1" x14ac:dyDescent="0.3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</row>
    <row r="1890" spans="1:42" s="24" customFormat="1" x14ac:dyDescent="0.3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</row>
    <row r="1891" spans="1:42" s="24" customFormat="1" x14ac:dyDescent="0.3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</row>
    <row r="1892" spans="1:42" s="24" customFormat="1" x14ac:dyDescent="0.3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</row>
    <row r="1893" spans="1:42" s="24" customFormat="1" x14ac:dyDescent="0.3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</row>
    <row r="1894" spans="1:42" s="24" customFormat="1" x14ac:dyDescent="0.3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</row>
    <row r="1895" spans="1:42" s="24" customFormat="1" x14ac:dyDescent="0.3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</row>
    <row r="1896" spans="1:42" s="24" customFormat="1" x14ac:dyDescent="0.3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</row>
    <row r="1897" spans="1:42" s="24" customFormat="1" x14ac:dyDescent="0.3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</row>
    <row r="1898" spans="1:42" s="24" customFormat="1" x14ac:dyDescent="0.3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</row>
    <row r="1899" spans="1:42" s="24" customFormat="1" x14ac:dyDescent="0.3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</row>
    <row r="1900" spans="1:42" s="24" customFormat="1" x14ac:dyDescent="0.3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</row>
    <row r="1901" spans="1:42" s="24" customFormat="1" x14ac:dyDescent="0.3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</row>
    <row r="1902" spans="1:42" s="24" customFormat="1" x14ac:dyDescent="0.3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</row>
    <row r="1903" spans="1:42" s="24" customFormat="1" x14ac:dyDescent="0.3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</row>
    <row r="1904" spans="1:42" s="24" customFormat="1" x14ac:dyDescent="0.3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</row>
    <row r="1905" spans="1:42" s="24" customFormat="1" x14ac:dyDescent="0.3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</row>
    <row r="1906" spans="1:42" s="24" customFormat="1" x14ac:dyDescent="0.3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</row>
    <row r="1907" spans="1:42" s="24" customFormat="1" x14ac:dyDescent="0.3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</row>
    <row r="1908" spans="1:42" s="24" customFormat="1" x14ac:dyDescent="0.3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</row>
    <row r="1909" spans="1:42" s="24" customFormat="1" x14ac:dyDescent="0.3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</row>
    <row r="1910" spans="1:42" s="24" customFormat="1" x14ac:dyDescent="0.3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</row>
    <row r="1911" spans="1:42" s="24" customFormat="1" x14ac:dyDescent="0.3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</row>
    <row r="1912" spans="1:42" s="24" customFormat="1" x14ac:dyDescent="0.3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</row>
    <row r="1913" spans="1:42" s="24" customFormat="1" x14ac:dyDescent="0.3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</row>
    <row r="1914" spans="1:42" s="24" customFormat="1" x14ac:dyDescent="0.3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</row>
    <row r="1915" spans="1:42" s="24" customFormat="1" x14ac:dyDescent="0.3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</row>
    <row r="1916" spans="1:42" s="24" customFormat="1" x14ac:dyDescent="0.3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</row>
    <row r="1917" spans="1:42" s="24" customFormat="1" x14ac:dyDescent="0.3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</row>
    <row r="1918" spans="1:42" s="24" customFormat="1" x14ac:dyDescent="0.3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</row>
    <row r="1919" spans="1:42" s="24" customFormat="1" x14ac:dyDescent="0.3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</row>
    <row r="1920" spans="1:42" s="24" customFormat="1" x14ac:dyDescent="0.3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</row>
    <row r="1921" spans="1:42" s="24" customFormat="1" x14ac:dyDescent="0.3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</row>
    <row r="1922" spans="1:42" s="24" customFormat="1" x14ac:dyDescent="0.3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</row>
    <row r="1923" spans="1:42" s="24" customFormat="1" x14ac:dyDescent="0.3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</row>
    <row r="1924" spans="1:42" s="24" customFormat="1" x14ac:dyDescent="0.3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</row>
    <row r="1925" spans="1:42" s="24" customFormat="1" x14ac:dyDescent="0.3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</row>
    <row r="1926" spans="1:42" s="24" customFormat="1" x14ac:dyDescent="0.3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</row>
    <row r="1927" spans="1:42" s="24" customFormat="1" x14ac:dyDescent="0.3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</row>
    <row r="1928" spans="1:42" s="24" customFormat="1" x14ac:dyDescent="0.3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</row>
    <row r="1929" spans="1:42" s="24" customFormat="1" x14ac:dyDescent="0.3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</row>
    <row r="1930" spans="1:42" s="24" customFormat="1" x14ac:dyDescent="0.3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</row>
    <row r="1931" spans="1:42" s="24" customFormat="1" x14ac:dyDescent="0.3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</row>
    <row r="1932" spans="1:42" s="24" customFormat="1" x14ac:dyDescent="0.3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</row>
    <row r="1933" spans="1:42" s="24" customFormat="1" x14ac:dyDescent="0.3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</row>
    <row r="1934" spans="1:42" s="24" customFormat="1" x14ac:dyDescent="0.3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</row>
    <row r="1935" spans="1:42" s="24" customFormat="1" x14ac:dyDescent="0.3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</row>
    <row r="1936" spans="1:42" s="24" customFormat="1" x14ac:dyDescent="0.3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</row>
    <row r="1937" spans="1:42" s="24" customFormat="1" x14ac:dyDescent="0.3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</row>
    <row r="1938" spans="1:42" s="24" customFormat="1" x14ac:dyDescent="0.3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</row>
    <row r="1939" spans="1:42" s="24" customFormat="1" x14ac:dyDescent="0.3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</row>
    <row r="1940" spans="1:42" s="24" customFormat="1" x14ac:dyDescent="0.3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</row>
    <row r="1941" spans="1:42" s="24" customFormat="1" x14ac:dyDescent="0.3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</row>
    <row r="1942" spans="1:42" s="24" customFormat="1" x14ac:dyDescent="0.3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</row>
    <row r="1943" spans="1:42" s="24" customFormat="1" x14ac:dyDescent="0.3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</row>
    <row r="1944" spans="1:42" s="24" customFormat="1" x14ac:dyDescent="0.3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</row>
    <row r="1945" spans="1:42" s="24" customFormat="1" x14ac:dyDescent="0.3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</row>
    <row r="1946" spans="1:42" s="24" customFormat="1" x14ac:dyDescent="0.3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</row>
    <row r="1947" spans="1:42" s="24" customFormat="1" x14ac:dyDescent="0.3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</row>
    <row r="1948" spans="1:42" s="24" customFormat="1" x14ac:dyDescent="0.3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</row>
    <row r="1949" spans="1:42" s="24" customFormat="1" x14ac:dyDescent="0.3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</row>
    <row r="1950" spans="1:42" s="24" customFormat="1" x14ac:dyDescent="0.3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</row>
    <row r="1951" spans="1:42" s="24" customFormat="1" x14ac:dyDescent="0.3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</row>
    <row r="1952" spans="1:42" s="24" customFormat="1" x14ac:dyDescent="0.3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</row>
    <row r="1953" spans="1:42" s="24" customFormat="1" x14ac:dyDescent="0.3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</row>
    <row r="1954" spans="1:42" s="24" customFormat="1" x14ac:dyDescent="0.3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</row>
    <row r="1955" spans="1:42" s="24" customFormat="1" x14ac:dyDescent="0.3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</row>
    <row r="1956" spans="1:42" s="24" customFormat="1" x14ac:dyDescent="0.3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</row>
    <row r="1957" spans="1:42" s="24" customFormat="1" x14ac:dyDescent="0.3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</row>
    <row r="1958" spans="1:42" s="24" customFormat="1" x14ac:dyDescent="0.3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</row>
    <row r="1959" spans="1:42" s="24" customFormat="1" x14ac:dyDescent="0.3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</row>
    <row r="1960" spans="1:42" s="24" customFormat="1" x14ac:dyDescent="0.3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</row>
    <row r="1961" spans="1:42" s="24" customFormat="1" x14ac:dyDescent="0.3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</row>
    <row r="1962" spans="1:42" s="24" customFormat="1" x14ac:dyDescent="0.3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</row>
    <row r="1963" spans="1:42" s="24" customFormat="1" x14ac:dyDescent="0.3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</row>
    <row r="1964" spans="1:42" s="24" customFormat="1" x14ac:dyDescent="0.3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</row>
    <row r="1965" spans="1:42" s="24" customFormat="1" x14ac:dyDescent="0.3">
      <c r="A1965" s="26"/>
      <c r="B1965" s="17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</row>
    <row r="1966" spans="1:42" s="24" customFormat="1" x14ac:dyDescent="0.3">
      <c r="A1966" s="26"/>
      <c r="B1966" s="17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</row>
    <row r="1967" spans="1:42" s="24" customFormat="1" x14ac:dyDescent="0.3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</row>
    <row r="1968" spans="1:42" s="24" customFormat="1" x14ac:dyDescent="0.3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</row>
    <row r="1969" spans="1:42" s="24" customFormat="1" x14ac:dyDescent="0.3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</row>
    <row r="1970" spans="1:42" s="24" customFormat="1" x14ac:dyDescent="0.3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</row>
    <row r="1971" spans="1:42" s="24" customFormat="1" x14ac:dyDescent="0.3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</row>
    <row r="1972" spans="1:42" s="24" customFormat="1" x14ac:dyDescent="0.3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</row>
    <row r="1973" spans="1:42" s="24" customFormat="1" x14ac:dyDescent="0.3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</row>
    <row r="1974" spans="1:42" s="24" customFormat="1" x14ac:dyDescent="0.3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</row>
    <row r="1975" spans="1:42" s="24" customFormat="1" x14ac:dyDescent="0.3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</row>
    <row r="1976" spans="1:42" s="24" customFormat="1" x14ac:dyDescent="0.3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</row>
    <row r="1977" spans="1:42" s="24" customFormat="1" x14ac:dyDescent="0.3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</row>
    <row r="1978" spans="1:42" s="24" customFormat="1" x14ac:dyDescent="0.3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</row>
    <row r="1979" spans="1:42" s="24" customFormat="1" x14ac:dyDescent="0.3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</row>
    <row r="1980" spans="1:42" s="24" customFormat="1" x14ac:dyDescent="0.3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</row>
    <row r="1981" spans="1:42" s="24" customFormat="1" x14ac:dyDescent="0.3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</row>
    <row r="1982" spans="1:42" s="24" customFormat="1" x14ac:dyDescent="0.3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</row>
    <row r="1983" spans="1:42" s="24" customFormat="1" x14ac:dyDescent="0.3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</row>
    <row r="1984" spans="1:42" s="24" customFormat="1" x14ac:dyDescent="0.3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</row>
    <row r="1985" spans="1:42" s="24" customFormat="1" x14ac:dyDescent="0.3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</row>
    <row r="1986" spans="1:42" s="24" customFormat="1" x14ac:dyDescent="0.3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</row>
    <row r="1987" spans="1:42" s="24" customFormat="1" x14ac:dyDescent="0.3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</row>
    <row r="1988" spans="1:42" s="24" customFormat="1" x14ac:dyDescent="0.3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</row>
    <row r="1989" spans="1:42" s="24" customFormat="1" x14ac:dyDescent="0.3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</row>
    <row r="1990" spans="1:42" s="24" customFormat="1" x14ac:dyDescent="0.3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</row>
    <row r="1991" spans="1:42" s="24" customFormat="1" x14ac:dyDescent="0.3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</row>
    <row r="1992" spans="1:42" s="24" customFormat="1" x14ac:dyDescent="0.3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</row>
    <row r="1993" spans="1:42" s="24" customFormat="1" x14ac:dyDescent="0.3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</row>
    <row r="1994" spans="1:42" s="24" customFormat="1" x14ac:dyDescent="0.3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</row>
    <row r="1995" spans="1:42" s="24" customFormat="1" x14ac:dyDescent="0.3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</row>
    <row r="1996" spans="1:42" s="24" customFormat="1" x14ac:dyDescent="0.3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</row>
    <row r="1997" spans="1:42" s="24" customFormat="1" x14ac:dyDescent="0.3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</row>
    <row r="1998" spans="1:42" s="24" customFormat="1" x14ac:dyDescent="0.3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</row>
    <row r="1999" spans="1:42" s="24" customFormat="1" x14ac:dyDescent="0.3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</row>
    <row r="2000" spans="1:42" s="24" customFormat="1" x14ac:dyDescent="0.3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</row>
    <row r="2001" spans="1:42" s="24" customFormat="1" x14ac:dyDescent="0.3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</row>
    <row r="2002" spans="1:42" s="24" customFormat="1" x14ac:dyDescent="0.3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</row>
    <row r="2003" spans="1:42" s="24" customFormat="1" x14ac:dyDescent="0.3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</row>
    <row r="2004" spans="1:42" s="24" customFormat="1" x14ac:dyDescent="0.3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</row>
    <row r="2005" spans="1:42" s="24" customFormat="1" x14ac:dyDescent="0.3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</row>
    <row r="2006" spans="1:42" s="24" customFormat="1" x14ac:dyDescent="0.3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</row>
    <row r="2007" spans="1:42" s="24" customFormat="1" x14ac:dyDescent="0.3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</row>
    <row r="2008" spans="1:42" s="24" customFormat="1" x14ac:dyDescent="0.3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</row>
    <row r="2009" spans="1:42" s="24" customFormat="1" x14ac:dyDescent="0.3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</row>
    <row r="2010" spans="1:42" s="24" customFormat="1" x14ac:dyDescent="0.3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</row>
    <row r="2011" spans="1:42" s="24" customFormat="1" x14ac:dyDescent="0.3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</row>
    <row r="2012" spans="1:42" s="24" customFormat="1" x14ac:dyDescent="0.3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</row>
    <row r="2013" spans="1:42" s="24" customFormat="1" x14ac:dyDescent="0.3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</row>
    <row r="2014" spans="1:42" s="24" customFormat="1" x14ac:dyDescent="0.3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</row>
    <row r="2015" spans="1:42" s="24" customFormat="1" x14ac:dyDescent="0.3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</row>
    <row r="2016" spans="1:42" s="24" customFormat="1" x14ac:dyDescent="0.3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</row>
    <row r="2017" spans="1:42" s="24" customFormat="1" x14ac:dyDescent="0.3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</row>
    <row r="2018" spans="1:42" s="24" customFormat="1" x14ac:dyDescent="0.3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</row>
    <row r="2019" spans="1:42" s="24" customFormat="1" x14ac:dyDescent="0.3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</row>
    <row r="2020" spans="1:42" s="24" customFormat="1" x14ac:dyDescent="0.3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</row>
    <row r="2021" spans="1:42" s="24" customFormat="1" x14ac:dyDescent="0.3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</row>
    <row r="2022" spans="1:42" s="24" customFormat="1" x14ac:dyDescent="0.3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</row>
    <row r="2023" spans="1:42" s="24" customFormat="1" x14ac:dyDescent="0.3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</row>
    <row r="2024" spans="1:42" s="24" customFormat="1" x14ac:dyDescent="0.3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</row>
    <row r="2025" spans="1:42" s="24" customFormat="1" x14ac:dyDescent="0.3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</row>
    <row r="2026" spans="1:42" s="24" customFormat="1" x14ac:dyDescent="0.3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</row>
    <row r="2027" spans="1:42" s="24" customFormat="1" x14ac:dyDescent="0.3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</row>
    <row r="2028" spans="1:42" s="24" customFormat="1" x14ac:dyDescent="0.3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</row>
    <row r="2029" spans="1:42" s="24" customFormat="1" x14ac:dyDescent="0.3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</row>
    <row r="2030" spans="1:42" s="24" customFormat="1" x14ac:dyDescent="0.3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</row>
    <row r="2031" spans="1:42" s="24" customFormat="1" x14ac:dyDescent="0.3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</row>
    <row r="2032" spans="1:42" s="24" customFormat="1" x14ac:dyDescent="0.3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</row>
    <row r="2033" spans="1:42" s="24" customFormat="1" x14ac:dyDescent="0.3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</row>
    <row r="2034" spans="1:42" s="24" customFormat="1" x14ac:dyDescent="0.3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</row>
    <row r="2035" spans="1:42" s="24" customFormat="1" x14ac:dyDescent="0.3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</row>
    <row r="2036" spans="1:42" s="24" customFormat="1" x14ac:dyDescent="0.3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</row>
    <row r="2037" spans="1:42" s="24" customFormat="1" x14ac:dyDescent="0.3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</row>
    <row r="2038" spans="1:42" s="24" customFormat="1" x14ac:dyDescent="0.3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</row>
    <row r="2039" spans="1:42" s="24" customFormat="1" x14ac:dyDescent="0.3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</row>
    <row r="2040" spans="1:42" s="24" customFormat="1" x14ac:dyDescent="0.3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</row>
    <row r="2041" spans="1:42" s="24" customFormat="1" x14ac:dyDescent="0.3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</row>
    <row r="2042" spans="1:42" s="24" customFormat="1" x14ac:dyDescent="0.3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</row>
    <row r="2043" spans="1:42" s="24" customFormat="1" x14ac:dyDescent="0.3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</row>
    <row r="2044" spans="1:42" s="24" customFormat="1" x14ac:dyDescent="0.3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</row>
    <row r="2045" spans="1:42" s="24" customFormat="1" x14ac:dyDescent="0.3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</row>
    <row r="2046" spans="1:42" s="24" customFormat="1" x14ac:dyDescent="0.3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</row>
    <row r="2047" spans="1:42" s="24" customFormat="1" x14ac:dyDescent="0.3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</row>
    <row r="2048" spans="1:42" s="24" customFormat="1" x14ac:dyDescent="0.3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</row>
    <row r="2049" spans="1:42" s="24" customFormat="1" x14ac:dyDescent="0.3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</row>
    <row r="2050" spans="1:42" s="24" customFormat="1" x14ac:dyDescent="0.3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</row>
    <row r="2051" spans="1:42" s="24" customFormat="1" x14ac:dyDescent="0.3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</row>
    <row r="2052" spans="1:42" s="24" customFormat="1" x14ac:dyDescent="0.3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</row>
    <row r="2053" spans="1:42" s="24" customFormat="1" x14ac:dyDescent="0.3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</row>
    <row r="2054" spans="1:42" s="24" customFormat="1" x14ac:dyDescent="0.3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</row>
    <row r="2055" spans="1:42" s="24" customFormat="1" x14ac:dyDescent="0.3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</row>
    <row r="2056" spans="1:42" s="24" customFormat="1" x14ac:dyDescent="0.3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</row>
    <row r="2057" spans="1:42" s="24" customFormat="1" x14ac:dyDescent="0.3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</row>
    <row r="2058" spans="1:42" s="24" customFormat="1" x14ac:dyDescent="0.3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</row>
    <row r="2059" spans="1:42" s="24" customFormat="1" x14ac:dyDescent="0.3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</row>
    <row r="2060" spans="1:42" s="24" customFormat="1" x14ac:dyDescent="0.3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</row>
    <row r="2061" spans="1:42" s="24" customFormat="1" x14ac:dyDescent="0.3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</row>
    <row r="2062" spans="1:42" s="24" customFormat="1" x14ac:dyDescent="0.3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</row>
    <row r="2063" spans="1:42" s="24" customFormat="1" x14ac:dyDescent="0.3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</row>
    <row r="2064" spans="1:42" s="24" customFormat="1" x14ac:dyDescent="0.3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</row>
    <row r="2065" spans="1:42" s="24" customFormat="1" x14ac:dyDescent="0.3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</row>
    <row r="2066" spans="1:42" s="24" customFormat="1" x14ac:dyDescent="0.3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</row>
    <row r="2067" spans="1:42" s="24" customFormat="1" x14ac:dyDescent="0.3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</row>
    <row r="2068" spans="1:42" s="24" customFormat="1" x14ac:dyDescent="0.3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</row>
    <row r="2069" spans="1:42" s="24" customFormat="1" x14ac:dyDescent="0.3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</row>
    <row r="2070" spans="1:42" s="24" customFormat="1" x14ac:dyDescent="0.3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</row>
    <row r="2071" spans="1:42" s="24" customFormat="1" x14ac:dyDescent="0.3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</row>
    <row r="2072" spans="1:42" s="24" customFormat="1" x14ac:dyDescent="0.3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</row>
    <row r="2073" spans="1:42" s="24" customFormat="1" x14ac:dyDescent="0.3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</row>
    <row r="2074" spans="1:42" s="24" customFormat="1" x14ac:dyDescent="0.3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</row>
    <row r="2075" spans="1:42" s="24" customFormat="1" x14ac:dyDescent="0.3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</row>
    <row r="2076" spans="1:42" s="24" customFormat="1" x14ac:dyDescent="0.3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</row>
    <row r="2077" spans="1:42" s="24" customFormat="1" x14ac:dyDescent="0.3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</row>
    <row r="2078" spans="1:42" s="24" customFormat="1" x14ac:dyDescent="0.3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</row>
    <row r="2079" spans="1:42" s="24" customFormat="1" x14ac:dyDescent="0.3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</row>
    <row r="2080" spans="1:42" s="24" customFormat="1" x14ac:dyDescent="0.3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</row>
    <row r="2081" spans="1:42" s="24" customFormat="1" x14ac:dyDescent="0.3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</row>
    <row r="2082" spans="1:42" s="24" customFormat="1" x14ac:dyDescent="0.3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</row>
    <row r="2083" spans="1:42" s="24" customFormat="1" x14ac:dyDescent="0.3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</row>
    <row r="2084" spans="1:42" s="24" customFormat="1" x14ac:dyDescent="0.3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</row>
    <row r="2085" spans="1:42" s="24" customFormat="1" x14ac:dyDescent="0.3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</row>
    <row r="2086" spans="1:42" s="24" customFormat="1" x14ac:dyDescent="0.3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</row>
    <row r="2087" spans="1:42" s="24" customFormat="1" x14ac:dyDescent="0.3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</row>
    <row r="2088" spans="1:42" s="24" customFormat="1" x14ac:dyDescent="0.3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</row>
    <row r="2089" spans="1:42" s="24" customFormat="1" x14ac:dyDescent="0.3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</row>
    <row r="2090" spans="1:42" s="24" customFormat="1" x14ac:dyDescent="0.3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</row>
    <row r="2091" spans="1:42" s="24" customFormat="1" x14ac:dyDescent="0.3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</row>
    <row r="2092" spans="1:42" s="24" customFormat="1" x14ac:dyDescent="0.3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</row>
    <row r="2093" spans="1:42" s="24" customFormat="1" x14ac:dyDescent="0.3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</row>
    <row r="2094" spans="1:42" s="24" customFormat="1" x14ac:dyDescent="0.3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</row>
    <row r="2095" spans="1:42" s="24" customFormat="1" x14ac:dyDescent="0.3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</row>
    <row r="2096" spans="1:42" s="24" customFormat="1" x14ac:dyDescent="0.3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</row>
    <row r="2097" spans="1:42" s="24" customFormat="1" x14ac:dyDescent="0.3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</row>
    <row r="2098" spans="1:42" s="24" customFormat="1" x14ac:dyDescent="0.3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</row>
    <row r="2099" spans="1:42" s="24" customFormat="1" x14ac:dyDescent="0.3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</row>
    <row r="2100" spans="1:42" s="24" customFormat="1" x14ac:dyDescent="0.3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</row>
    <row r="2101" spans="1:42" s="24" customFormat="1" x14ac:dyDescent="0.3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</row>
    <row r="2102" spans="1:42" s="24" customFormat="1" x14ac:dyDescent="0.3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</row>
    <row r="2103" spans="1:42" s="24" customFormat="1" x14ac:dyDescent="0.3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</row>
    <row r="2104" spans="1:42" s="24" customFormat="1" x14ac:dyDescent="0.3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</row>
    <row r="2105" spans="1:42" s="24" customFormat="1" x14ac:dyDescent="0.3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</row>
    <row r="2106" spans="1:42" s="24" customFormat="1" x14ac:dyDescent="0.3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</row>
    <row r="2107" spans="1:42" s="24" customFormat="1" x14ac:dyDescent="0.3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</row>
    <row r="2108" spans="1:42" s="24" customFormat="1" x14ac:dyDescent="0.3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</row>
    <row r="2109" spans="1:42" s="24" customFormat="1" x14ac:dyDescent="0.3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</row>
    <row r="2110" spans="1:42" s="24" customFormat="1" x14ac:dyDescent="0.3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</row>
    <row r="2111" spans="1:42" s="24" customFormat="1" x14ac:dyDescent="0.3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</row>
    <row r="2112" spans="1:42" s="24" customFormat="1" x14ac:dyDescent="0.3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</row>
    <row r="2113" spans="1:42" s="24" customFormat="1" x14ac:dyDescent="0.3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</row>
    <row r="2114" spans="1:42" s="24" customFormat="1" x14ac:dyDescent="0.3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</row>
    <row r="2115" spans="1:42" s="24" customFormat="1" x14ac:dyDescent="0.3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</row>
    <row r="2116" spans="1:42" s="24" customFormat="1" x14ac:dyDescent="0.3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</row>
    <row r="2117" spans="1:42" s="24" customFormat="1" x14ac:dyDescent="0.3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</row>
    <row r="2118" spans="1:42" s="24" customFormat="1" x14ac:dyDescent="0.3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</row>
    <row r="2119" spans="1:42" s="24" customFormat="1" x14ac:dyDescent="0.3">
      <c r="A2119" s="26"/>
      <c r="B2119" s="17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</row>
    <row r="2120" spans="1:42" s="24" customFormat="1" x14ac:dyDescent="0.3">
      <c r="A2120" s="26"/>
      <c r="B2120" s="17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</row>
    <row r="2121" spans="1:42" s="24" customFormat="1" x14ac:dyDescent="0.3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</row>
    <row r="2122" spans="1:42" s="24" customFormat="1" x14ac:dyDescent="0.3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</row>
    <row r="2123" spans="1:42" s="24" customFormat="1" x14ac:dyDescent="0.3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</row>
    <row r="2124" spans="1:42" s="24" customFormat="1" x14ac:dyDescent="0.3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</row>
    <row r="2125" spans="1:42" s="24" customFormat="1" x14ac:dyDescent="0.3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</row>
    <row r="2126" spans="1:42" s="24" customFormat="1" x14ac:dyDescent="0.3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</row>
    <row r="2127" spans="1:42" s="24" customFormat="1" x14ac:dyDescent="0.3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</row>
    <row r="2128" spans="1:42" s="24" customFormat="1" x14ac:dyDescent="0.3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</row>
    <row r="2129" spans="1:42" s="24" customFormat="1" x14ac:dyDescent="0.3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</row>
    <row r="2130" spans="1:42" s="24" customFormat="1" x14ac:dyDescent="0.3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</row>
    <row r="2131" spans="1:42" s="24" customFormat="1" x14ac:dyDescent="0.3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</row>
    <row r="2132" spans="1:42" s="24" customFormat="1" x14ac:dyDescent="0.3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</row>
    <row r="2133" spans="1:42" s="24" customFormat="1" x14ac:dyDescent="0.3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</row>
    <row r="2134" spans="1:42" s="24" customFormat="1" x14ac:dyDescent="0.3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</row>
    <row r="2135" spans="1:42" s="24" customFormat="1" x14ac:dyDescent="0.3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</row>
    <row r="2136" spans="1:42" s="24" customFormat="1" x14ac:dyDescent="0.3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</row>
    <row r="2137" spans="1:42" s="24" customFormat="1" x14ac:dyDescent="0.3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</row>
    <row r="2138" spans="1:42" s="24" customFormat="1" x14ac:dyDescent="0.3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</row>
    <row r="2139" spans="1:42" s="24" customFormat="1" x14ac:dyDescent="0.3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</row>
    <row r="2140" spans="1:42" s="24" customFormat="1" x14ac:dyDescent="0.3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</row>
    <row r="2141" spans="1:42" s="24" customFormat="1" x14ac:dyDescent="0.3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</row>
    <row r="2142" spans="1:42" s="24" customFormat="1" x14ac:dyDescent="0.3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</row>
    <row r="2143" spans="1:42" s="24" customFormat="1" x14ac:dyDescent="0.3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</row>
    <row r="2144" spans="1:42" s="24" customFormat="1" x14ac:dyDescent="0.3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</row>
    <row r="2145" spans="1:42" s="24" customFormat="1" x14ac:dyDescent="0.3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</row>
    <row r="2146" spans="1:42" s="24" customFormat="1" x14ac:dyDescent="0.3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</row>
    <row r="2147" spans="1:42" s="24" customFormat="1" x14ac:dyDescent="0.3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</row>
    <row r="2148" spans="1:42" s="24" customFormat="1" x14ac:dyDescent="0.3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</row>
    <row r="2149" spans="1:42" s="24" customFormat="1" x14ac:dyDescent="0.3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</row>
    <row r="2150" spans="1:42" s="24" customFormat="1" x14ac:dyDescent="0.3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</row>
    <row r="2151" spans="1:42" s="24" customFormat="1" x14ac:dyDescent="0.3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</row>
    <row r="2152" spans="1:42" s="24" customFormat="1" x14ac:dyDescent="0.3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</row>
    <row r="2153" spans="1:42" s="24" customFormat="1" x14ac:dyDescent="0.3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</row>
    <row r="2154" spans="1:42" s="24" customFormat="1" x14ac:dyDescent="0.3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</row>
    <row r="2155" spans="1:42" s="24" customFormat="1" x14ac:dyDescent="0.3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</row>
    <row r="2156" spans="1:42" s="24" customFormat="1" x14ac:dyDescent="0.3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</row>
    <row r="2157" spans="1:42" s="24" customFormat="1" x14ac:dyDescent="0.3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</row>
    <row r="2158" spans="1:42" s="24" customFormat="1" x14ac:dyDescent="0.3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</row>
    <row r="2159" spans="1:42" s="24" customFormat="1" x14ac:dyDescent="0.3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</row>
    <row r="2160" spans="1:42" s="24" customFormat="1" x14ac:dyDescent="0.3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</row>
    <row r="2161" spans="1:42" s="24" customFormat="1" x14ac:dyDescent="0.3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</row>
    <row r="2162" spans="1:42" s="24" customFormat="1" x14ac:dyDescent="0.3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</row>
    <row r="2163" spans="1:42" s="24" customFormat="1" x14ac:dyDescent="0.3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</row>
    <row r="2164" spans="1:42" s="24" customFormat="1" x14ac:dyDescent="0.3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</row>
    <row r="2165" spans="1:42" s="24" customFormat="1" x14ac:dyDescent="0.3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</row>
    <row r="2166" spans="1:42" s="24" customFormat="1" x14ac:dyDescent="0.3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</row>
    <row r="2167" spans="1:42" s="24" customFormat="1" x14ac:dyDescent="0.3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</row>
    <row r="2168" spans="1:42" s="24" customFormat="1" x14ac:dyDescent="0.3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</row>
    <row r="2169" spans="1:42" s="24" customFormat="1" x14ac:dyDescent="0.3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</row>
    <row r="2170" spans="1:42" s="24" customFormat="1" x14ac:dyDescent="0.3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</row>
    <row r="2171" spans="1:42" s="24" customFormat="1" x14ac:dyDescent="0.3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</row>
    <row r="2172" spans="1:42" s="24" customFormat="1" x14ac:dyDescent="0.3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</row>
    <row r="2173" spans="1:42" s="24" customFormat="1" x14ac:dyDescent="0.3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</row>
    <row r="2174" spans="1:42" s="24" customFormat="1" x14ac:dyDescent="0.3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</row>
    <row r="2175" spans="1:42" s="24" customFormat="1" x14ac:dyDescent="0.3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</row>
    <row r="2176" spans="1:42" s="24" customFormat="1" x14ac:dyDescent="0.3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</row>
    <row r="2177" spans="1:42" s="24" customFormat="1" x14ac:dyDescent="0.3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</row>
    <row r="2178" spans="1:42" s="24" customFormat="1" x14ac:dyDescent="0.3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</row>
    <row r="2179" spans="1:42" s="24" customFormat="1" x14ac:dyDescent="0.3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</row>
    <row r="2180" spans="1:42" s="24" customFormat="1" x14ac:dyDescent="0.3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</row>
    <row r="2181" spans="1:42" s="24" customFormat="1" x14ac:dyDescent="0.3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</row>
    <row r="2182" spans="1:42" s="24" customFormat="1" x14ac:dyDescent="0.3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</row>
    <row r="2183" spans="1:42" s="24" customFormat="1" x14ac:dyDescent="0.3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</row>
    <row r="2184" spans="1:42" s="24" customFormat="1" x14ac:dyDescent="0.3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</row>
    <row r="2185" spans="1:42" s="24" customFormat="1" x14ac:dyDescent="0.3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</row>
    <row r="2186" spans="1:42" s="24" customFormat="1" x14ac:dyDescent="0.3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</row>
    <row r="2187" spans="1:42" s="24" customFormat="1" x14ac:dyDescent="0.3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</row>
    <row r="2188" spans="1:42" s="24" customFormat="1" x14ac:dyDescent="0.3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</row>
    <row r="2189" spans="1:42" s="24" customFormat="1" x14ac:dyDescent="0.3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</row>
    <row r="2190" spans="1:42" s="24" customFormat="1" x14ac:dyDescent="0.3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</row>
    <row r="2191" spans="1:42" s="24" customFormat="1" x14ac:dyDescent="0.3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</row>
    <row r="2192" spans="1:42" s="24" customFormat="1" x14ac:dyDescent="0.3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</row>
    <row r="2193" spans="1:42" s="24" customFormat="1" x14ac:dyDescent="0.3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</row>
    <row r="2194" spans="1:42" s="24" customFormat="1" x14ac:dyDescent="0.3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</row>
    <row r="2195" spans="1:42" s="24" customFormat="1" x14ac:dyDescent="0.3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</row>
    <row r="2196" spans="1:42" s="24" customFormat="1" x14ac:dyDescent="0.3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</row>
    <row r="2197" spans="1:42" s="24" customFormat="1" x14ac:dyDescent="0.3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</row>
    <row r="2198" spans="1:42" s="24" customFormat="1" x14ac:dyDescent="0.3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</row>
    <row r="2199" spans="1:42" s="24" customFormat="1" x14ac:dyDescent="0.3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</row>
    <row r="2200" spans="1:42" s="24" customFormat="1" x14ac:dyDescent="0.3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</row>
    <row r="2201" spans="1:42" s="24" customFormat="1" x14ac:dyDescent="0.3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</row>
    <row r="2202" spans="1:42" s="24" customFormat="1" x14ac:dyDescent="0.3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</row>
    <row r="2203" spans="1:42" s="24" customFormat="1" x14ac:dyDescent="0.3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</row>
    <row r="2204" spans="1:42" s="24" customFormat="1" x14ac:dyDescent="0.3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</row>
    <row r="2205" spans="1:42" s="24" customFormat="1" x14ac:dyDescent="0.3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</row>
    <row r="2206" spans="1:42" s="24" customFormat="1" x14ac:dyDescent="0.3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</row>
    <row r="2207" spans="1:42" s="24" customFormat="1" x14ac:dyDescent="0.3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</row>
    <row r="2208" spans="1:42" s="24" customFormat="1" x14ac:dyDescent="0.3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</row>
    <row r="2209" spans="1:42" s="24" customFormat="1" x14ac:dyDescent="0.3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</row>
    <row r="2210" spans="1:42" s="24" customFormat="1" x14ac:dyDescent="0.3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</row>
    <row r="2211" spans="1:42" s="24" customFormat="1" x14ac:dyDescent="0.3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</row>
    <row r="2212" spans="1:42" s="24" customFormat="1" x14ac:dyDescent="0.3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</row>
    <row r="2213" spans="1:42" s="24" customFormat="1" x14ac:dyDescent="0.3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</row>
    <row r="2214" spans="1:42" s="24" customFormat="1" x14ac:dyDescent="0.3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</row>
    <row r="2215" spans="1:42" s="24" customFormat="1" x14ac:dyDescent="0.3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</row>
    <row r="2216" spans="1:42" s="24" customFormat="1" x14ac:dyDescent="0.3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</row>
    <row r="2217" spans="1:42" s="24" customFormat="1" x14ac:dyDescent="0.3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</row>
    <row r="2218" spans="1:42" s="24" customFormat="1" x14ac:dyDescent="0.3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</row>
    <row r="2219" spans="1:42" s="24" customFormat="1" x14ac:dyDescent="0.3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</row>
    <row r="2220" spans="1:42" s="24" customFormat="1" x14ac:dyDescent="0.3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</row>
    <row r="2221" spans="1:42" s="24" customFormat="1" x14ac:dyDescent="0.3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</row>
    <row r="2222" spans="1:42" s="24" customFormat="1" x14ac:dyDescent="0.3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</row>
    <row r="2223" spans="1:42" s="24" customFormat="1" x14ac:dyDescent="0.3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</row>
    <row r="2224" spans="1:42" s="24" customFormat="1" x14ac:dyDescent="0.3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</row>
    <row r="2225" spans="1:42" s="24" customFormat="1" x14ac:dyDescent="0.3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</row>
    <row r="2226" spans="1:42" s="24" customFormat="1" x14ac:dyDescent="0.3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</row>
    <row r="2227" spans="1:42" s="24" customFormat="1" x14ac:dyDescent="0.3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</row>
    <row r="2228" spans="1:42" s="24" customFormat="1" x14ac:dyDescent="0.3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</row>
    <row r="2229" spans="1:42" s="24" customFormat="1" x14ac:dyDescent="0.3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</row>
    <row r="2230" spans="1:42" s="24" customFormat="1" x14ac:dyDescent="0.3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</row>
    <row r="2231" spans="1:42" s="24" customFormat="1" x14ac:dyDescent="0.3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</row>
    <row r="2232" spans="1:42" s="24" customFormat="1" x14ac:dyDescent="0.3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</row>
    <row r="2233" spans="1:42" s="24" customFormat="1" x14ac:dyDescent="0.3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</row>
    <row r="2234" spans="1:42" s="24" customFormat="1" x14ac:dyDescent="0.3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</row>
    <row r="2235" spans="1:42" s="24" customFormat="1" x14ac:dyDescent="0.3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</row>
    <row r="2236" spans="1:42" s="24" customFormat="1" x14ac:dyDescent="0.3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</row>
    <row r="2237" spans="1:42" s="24" customFormat="1" x14ac:dyDescent="0.3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</row>
    <row r="2238" spans="1:42" s="24" customFormat="1" x14ac:dyDescent="0.3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</row>
    <row r="2239" spans="1:42" s="24" customFormat="1" x14ac:dyDescent="0.3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</row>
    <row r="2240" spans="1:42" s="24" customFormat="1" x14ac:dyDescent="0.3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</row>
    <row r="2241" spans="1:42" s="24" customFormat="1" x14ac:dyDescent="0.3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</row>
    <row r="2242" spans="1:42" s="24" customFormat="1" x14ac:dyDescent="0.3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</row>
    <row r="2243" spans="1:42" s="24" customFormat="1" x14ac:dyDescent="0.3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</row>
    <row r="2244" spans="1:42" s="24" customFormat="1" x14ac:dyDescent="0.3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</row>
    <row r="2245" spans="1:42" s="24" customFormat="1" x14ac:dyDescent="0.3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</row>
    <row r="2246" spans="1:42" s="24" customFormat="1" x14ac:dyDescent="0.3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</row>
    <row r="2247" spans="1:42" s="24" customFormat="1" x14ac:dyDescent="0.3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</row>
    <row r="2248" spans="1:42" s="24" customFormat="1" x14ac:dyDescent="0.3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</row>
    <row r="2249" spans="1:42" s="24" customFormat="1" x14ac:dyDescent="0.3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</row>
    <row r="2250" spans="1:42" s="24" customFormat="1" x14ac:dyDescent="0.3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</row>
    <row r="2251" spans="1:42" s="24" customFormat="1" x14ac:dyDescent="0.3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</row>
    <row r="2252" spans="1:42" s="24" customFormat="1" x14ac:dyDescent="0.3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</row>
    <row r="2253" spans="1:42" s="24" customFormat="1" x14ac:dyDescent="0.3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</row>
    <row r="2254" spans="1:42" s="24" customFormat="1" x14ac:dyDescent="0.3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</row>
    <row r="2255" spans="1:42" s="24" customFormat="1" x14ac:dyDescent="0.3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</row>
    <row r="2256" spans="1:42" s="24" customFormat="1" x14ac:dyDescent="0.3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</row>
    <row r="2257" spans="1:42" s="24" customFormat="1" x14ac:dyDescent="0.3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</row>
    <row r="2258" spans="1:42" s="24" customFormat="1" x14ac:dyDescent="0.3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</row>
    <row r="2259" spans="1:42" s="24" customFormat="1" x14ac:dyDescent="0.3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</row>
    <row r="2260" spans="1:42" s="24" customFormat="1" x14ac:dyDescent="0.3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</row>
    <row r="2261" spans="1:42" s="24" customFormat="1" x14ac:dyDescent="0.3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</row>
    <row r="2262" spans="1:42" s="24" customFormat="1" x14ac:dyDescent="0.3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</row>
    <row r="2263" spans="1:42" s="24" customFormat="1" x14ac:dyDescent="0.3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</row>
    <row r="2264" spans="1:42" s="24" customFormat="1" x14ac:dyDescent="0.3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</row>
    <row r="2265" spans="1:42" s="24" customFormat="1" x14ac:dyDescent="0.3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</row>
    <row r="2266" spans="1:42" s="24" customFormat="1" x14ac:dyDescent="0.3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</row>
    <row r="2267" spans="1:42" s="24" customFormat="1" x14ac:dyDescent="0.3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</row>
    <row r="2268" spans="1:42" s="24" customFormat="1" x14ac:dyDescent="0.3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</row>
    <row r="2269" spans="1:42" s="24" customFormat="1" x14ac:dyDescent="0.3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</row>
    <row r="2270" spans="1:42" s="24" customFormat="1" x14ac:dyDescent="0.3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</row>
    <row r="2271" spans="1:42" s="24" customFormat="1" x14ac:dyDescent="0.3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</row>
    <row r="2272" spans="1:42" s="24" customFormat="1" x14ac:dyDescent="0.3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</row>
    <row r="2273" spans="1:42" s="24" customFormat="1" x14ac:dyDescent="0.3">
      <c r="A2273" s="26"/>
      <c r="B2273" s="17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</row>
    <row r="2274" spans="1:42" s="24" customFormat="1" x14ac:dyDescent="0.3">
      <c r="A2274" s="26"/>
      <c r="B2274" s="17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</row>
    <row r="2275" spans="1:42" s="24" customFormat="1" x14ac:dyDescent="0.3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</row>
    <row r="2276" spans="1:42" s="24" customFormat="1" x14ac:dyDescent="0.3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</row>
    <row r="2277" spans="1:42" s="24" customFormat="1" x14ac:dyDescent="0.3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</row>
    <row r="2278" spans="1:42" s="24" customFormat="1" x14ac:dyDescent="0.3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</row>
    <row r="2279" spans="1:42" s="24" customFormat="1" x14ac:dyDescent="0.3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</row>
    <row r="2280" spans="1:42" s="24" customFormat="1" x14ac:dyDescent="0.3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</row>
    <row r="2281" spans="1:42" s="24" customFormat="1" x14ac:dyDescent="0.3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</row>
    <row r="2282" spans="1:42" s="24" customFormat="1" x14ac:dyDescent="0.3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</row>
    <row r="2283" spans="1:42" s="24" customFormat="1" x14ac:dyDescent="0.3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</row>
    <row r="2284" spans="1:42" s="24" customFormat="1" x14ac:dyDescent="0.3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</row>
    <row r="2285" spans="1:42" s="24" customFormat="1" x14ac:dyDescent="0.3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</row>
    <row r="2286" spans="1:42" s="24" customFormat="1" x14ac:dyDescent="0.3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</row>
    <row r="2287" spans="1:42" s="24" customFormat="1" x14ac:dyDescent="0.3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</row>
    <row r="2288" spans="1:42" s="24" customFormat="1" x14ac:dyDescent="0.3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</row>
    <row r="2289" spans="1:42" s="24" customFormat="1" x14ac:dyDescent="0.3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</row>
    <row r="2290" spans="1:42" s="24" customFormat="1" x14ac:dyDescent="0.3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</row>
    <row r="2291" spans="1:42" s="24" customFormat="1" x14ac:dyDescent="0.3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</row>
    <row r="2292" spans="1:42" s="24" customFormat="1" x14ac:dyDescent="0.3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</row>
    <row r="2293" spans="1:42" s="24" customFormat="1" x14ac:dyDescent="0.3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</row>
    <row r="2294" spans="1:42" s="24" customFormat="1" x14ac:dyDescent="0.3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</row>
    <row r="2295" spans="1:42" s="24" customFormat="1" x14ac:dyDescent="0.3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</row>
    <row r="2296" spans="1:42" s="24" customFormat="1" x14ac:dyDescent="0.3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</row>
    <row r="2297" spans="1:42" s="24" customFormat="1" x14ac:dyDescent="0.3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</row>
    <row r="2298" spans="1:42" s="24" customFormat="1" x14ac:dyDescent="0.3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</row>
    <row r="2299" spans="1:42" s="24" customFormat="1" x14ac:dyDescent="0.3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</row>
    <row r="2300" spans="1:42" s="24" customFormat="1" x14ac:dyDescent="0.3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</row>
    <row r="2301" spans="1:42" s="24" customFormat="1" x14ac:dyDescent="0.3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</row>
    <row r="2302" spans="1:42" s="24" customFormat="1" x14ac:dyDescent="0.3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</row>
    <row r="2303" spans="1:42" s="24" customFormat="1" x14ac:dyDescent="0.3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</row>
    <row r="2304" spans="1:42" s="24" customFormat="1" x14ac:dyDescent="0.3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</row>
    <row r="2305" spans="1:42" s="24" customFormat="1" x14ac:dyDescent="0.3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</row>
    <row r="2306" spans="1:42" s="24" customFormat="1" x14ac:dyDescent="0.3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</row>
    <row r="2307" spans="1:42" s="24" customFormat="1" x14ac:dyDescent="0.3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</row>
    <row r="2308" spans="1:42" s="24" customFormat="1" x14ac:dyDescent="0.3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</row>
    <row r="2309" spans="1:42" s="24" customFormat="1" x14ac:dyDescent="0.3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</row>
    <row r="2310" spans="1:42" s="24" customFormat="1" x14ac:dyDescent="0.3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</row>
    <row r="2311" spans="1:42" s="24" customFormat="1" x14ac:dyDescent="0.3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</row>
    <row r="2312" spans="1:42" s="24" customFormat="1" x14ac:dyDescent="0.3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</row>
    <row r="2313" spans="1:42" s="24" customFormat="1" x14ac:dyDescent="0.3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</row>
    <row r="2314" spans="1:42" s="24" customFormat="1" x14ac:dyDescent="0.3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</row>
    <row r="2315" spans="1:42" s="24" customFormat="1" x14ac:dyDescent="0.3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</row>
    <row r="2316" spans="1:42" s="24" customFormat="1" x14ac:dyDescent="0.3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</row>
    <row r="2317" spans="1:42" s="24" customFormat="1" x14ac:dyDescent="0.3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</row>
    <row r="2318" spans="1:42" s="24" customFormat="1" x14ac:dyDescent="0.3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</row>
    <row r="2319" spans="1:42" s="24" customFormat="1" x14ac:dyDescent="0.3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</row>
    <row r="2320" spans="1:42" s="24" customFormat="1" x14ac:dyDescent="0.3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</row>
    <row r="2321" spans="1:42" s="24" customFormat="1" x14ac:dyDescent="0.3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</row>
    <row r="2322" spans="1:42" s="24" customFormat="1" x14ac:dyDescent="0.3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</row>
    <row r="2323" spans="1:42" s="24" customFormat="1" x14ac:dyDescent="0.3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</row>
    <row r="2324" spans="1:42" s="24" customFormat="1" x14ac:dyDescent="0.3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</row>
    <row r="2325" spans="1:42" s="24" customFormat="1" x14ac:dyDescent="0.3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</row>
    <row r="2326" spans="1:42" s="24" customFormat="1" x14ac:dyDescent="0.3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</row>
    <row r="2327" spans="1:42" s="24" customFormat="1" x14ac:dyDescent="0.3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</row>
    <row r="2328" spans="1:42" s="24" customFormat="1" x14ac:dyDescent="0.3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</row>
    <row r="2329" spans="1:42" s="24" customFormat="1" x14ac:dyDescent="0.3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</row>
    <row r="2330" spans="1:42" s="24" customFormat="1" x14ac:dyDescent="0.3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</row>
    <row r="2331" spans="1:42" s="24" customFormat="1" x14ac:dyDescent="0.3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</row>
    <row r="2332" spans="1:42" s="24" customFormat="1" x14ac:dyDescent="0.3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</row>
    <row r="2333" spans="1:42" s="24" customFormat="1" x14ac:dyDescent="0.3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</row>
    <row r="2334" spans="1:42" s="24" customFormat="1" x14ac:dyDescent="0.3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</row>
    <row r="2335" spans="1:42" s="24" customFormat="1" x14ac:dyDescent="0.3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</row>
    <row r="2336" spans="1:42" s="24" customFormat="1" x14ac:dyDescent="0.3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</row>
    <row r="2337" spans="1:42" s="24" customFormat="1" x14ac:dyDescent="0.3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</row>
    <row r="2338" spans="1:42" s="24" customFormat="1" x14ac:dyDescent="0.3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</row>
    <row r="2339" spans="1:42" s="24" customFormat="1" x14ac:dyDescent="0.3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</row>
    <row r="2340" spans="1:42" s="24" customFormat="1" x14ac:dyDescent="0.3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</row>
    <row r="2341" spans="1:42" s="24" customFormat="1" x14ac:dyDescent="0.3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</row>
    <row r="2342" spans="1:42" s="24" customFormat="1" x14ac:dyDescent="0.3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</row>
    <row r="2343" spans="1:42" s="24" customFormat="1" x14ac:dyDescent="0.3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</row>
    <row r="2344" spans="1:42" s="24" customFormat="1" x14ac:dyDescent="0.3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</row>
    <row r="2345" spans="1:42" s="24" customFormat="1" x14ac:dyDescent="0.3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</row>
    <row r="2346" spans="1:42" s="24" customFormat="1" x14ac:dyDescent="0.3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</row>
    <row r="2347" spans="1:42" s="24" customFormat="1" x14ac:dyDescent="0.3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</row>
    <row r="2348" spans="1:42" s="24" customFormat="1" x14ac:dyDescent="0.3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</row>
    <row r="2349" spans="1:42" s="24" customFormat="1" x14ac:dyDescent="0.3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</row>
    <row r="2350" spans="1:42" s="24" customFormat="1" x14ac:dyDescent="0.3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</row>
    <row r="2351" spans="1:42" s="24" customFormat="1" x14ac:dyDescent="0.3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</row>
    <row r="2352" spans="1:42" s="24" customFormat="1" x14ac:dyDescent="0.3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</row>
    <row r="2353" spans="1:42" s="24" customFormat="1" x14ac:dyDescent="0.3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</row>
    <row r="2354" spans="1:42" s="24" customFormat="1" x14ac:dyDescent="0.3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</row>
    <row r="2355" spans="1:42" s="24" customFormat="1" x14ac:dyDescent="0.3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</row>
    <row r="2356" spans="1:42" s="24" customFormat="1" x14ac:dyDescent="0.3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</row>
    <row r="2357" spans="1:42" s="24" customFormat="1" x14ac:dyDescent="0.3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</row>
    <row r="2358" spans="1:42" s="24" customFormat="1" x14ac:dyDescent="0.3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</row>
    <row r="2359" spans="1:42" s="24" customFormat="1" x14ac:dyDescent="0.3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</row>
    <row r="2360" spans="1:42" s="24" customFormat="1" x14ac:dyDescent="0.3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</row>
    <row r="2361" spans="1:42" s="24" customFormat="1" x14ac:dyDescent="0.3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</row>
    <row r="2362" spans="1:42" s="24" customFormat="1" x14ac:dyDescent="0.3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</row>
    <row r="2363" spans="1:42" s="24" customFormat="1" x14ac:dyDescent="0.3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</row>
    <row r="2364" spans="1:42" s="24" customFormat="1" x14ac:dyDescent="0.3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</row>
    <row r="2365" spans="1:42" s="24" customFormat="1" x14ac:dyDescent="0.3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</row>
    <row r="2366" spans="1:42" s="24" customFormat="1" x14ac:dyDescent="0.3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</row>
    <row r="2367" spans="1:42" s="24" customFormat="1" x14ac:dyDescent="0.3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</row>
    <row r="2368" spans="1:42" s="24" customFormat="1" x14ac:dyDescent="0.3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</row>
    <row r="2369" spans="1:42" s="24" customFormat="1" x14ac:dyDescent="0.3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</row>
    <row r="2370" spans="1:42" s="24" customFormat="1" x14ac:dyDescent="0.3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</row>
    <row r="2371" spans="1:42" s="24" customFormat="1" x14ac:dyDescent="0.3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</row>
    <row r="2372" spans="1:42" s="24" customFormat="1" x14ac:dyDescent="0.3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</row>
    <row r="2373" spans="1:42" s="24" customFormat="1" x14ac:dyDescent="0.3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</row>
    <row r="2374" spans="1:42" s="24" customFormat="1" x14ac:dyDescent="0.3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</row>
    <row r="2375" spans="1:42" s="24" customFormat="1" x14ac:dyDescent="0.3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</row>
    <row r="2376" spans="1:42" s="24" customFormat="1" x14ac:dyDescent="0.3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</row>
    <row r="2377" spans="1:42" s="24" customFormat="1" x14ac:dyDescent="0.3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</row>
    <row r="2378" spans="1:42" s="24" customFormat="1" x14ac:dyDescent="0.3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</row>
    <row r="2379" spans="1:42" s="24" customFormat="1" x14ac:dyDescent="0.3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</row>
    <row r="2380" spans="1:42" s="24" customFormat="1" x14ac:dyDescent="0.3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</row>
    <row r="2381" spans="1:42" s="24" customFormat="1" x14ac:dyDescent="0.3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</row>
    <row r="2382" spans="1:42" s="24" customFormat="1" x14ac:dyDescent="0.3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</row>
    <row r="2383" spans="1:42" s="24" customFormat="1" x14ac:dyDescent="0.3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</row>
    <row r="2384" spans="1:42" s="24" customFormat="1" x14ac:dyDescent="0.3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</row>
    <row r="2385" spans="1:42" s="24" customFormat="1" x14ac:dyDescent="0.3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</row>
    <row r="2386" spans="1:42" s="24" customFormat="1" x14ac:dyDescent="0.3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</row>
    <row r="2387" spans="1:42" s="24" customFormat="1" x14ac:dyDescent="0.3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</row>
    <row r="2388" spans="1:42" s="24" customFormat="1" x14ac:dyDescent="0.3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</row>
    <row r="2389" spans="1:42" s="24" customFormat="1" x14ac:dyDescent="0.3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</row>
    <row r="2390" spans="1:42" s="24" customFormat="1" x14ac:dyDescent="0.3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</row>
    <row r="2391" spans="1:42" s="24" customFormat="1" x14ac:dyDescent="0.3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</row>
    <row r="2392" spans="1:42" s="24" customFormat="1" x14ac:dyDescent="0.3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</row>
    <row r="2393" spans="1:42" s="24" customFormat="1" x14ac:dyDescent="0.3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</row>
    <row r="2394" spans="1:42" s="24" customFormat="1" x14ac:dyDescent="0.3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</row>
    <row r="2395" spans="1:42" s="24" customFormat="1" x14ac:dyDescent="0.3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</row>
    <row r="2396" spans="1:42" s="24" customFormat="1" x14ac:dyDescent="0.3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</row>
    <row r="2397" spans="1:42" s="24" customFormat="1" x14ac:dyDescent="0.3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</row>
    <row r="2398" spans="1:42" s="24" customFormat="1" x14ac:dyDescent="0.3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</row>
    <row r="2399" spans="1:42" s="24" customFormat="1" x14ac:dyDescent="0.3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</row>
    <row r="2400" spans="1:42" s="24" customFormat="1" x14ac:dyDescent="0.3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</row>
    <row r="2401" spans="1:42" s="24" customFormat="1" x14ac:dyDescent="0.3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</row>
    <row r="2402" spans="1:42" s="24" customFormat="1" x14ac:dyDescent="0.3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</row>
    <row r="2403" spans="1:42" s="24" customFormat="1" x14ac:dyDescent="0.3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</row>
    <row r="2404" spans="1:42" s="24" customFormat="1" x14ac:dyDescent="0.3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</row>
    <row r="2405" spans="1:42" s="24" customFormat="1" x14ac:dyDescent="0.3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</row>
    <row r="2406" spans="1:42" s="24" customFormat="1" x14ac:dyDescent="0.3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</row>
    <row r="2407" spans="1:42" s="24" customFormat="1" x14ac:dyDescent="0.3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</row>
    <row r="2408" spans="1:42" s="24" customFormat="1" x14ac:dyDescent="0.3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</row>
    <row r="2409" spans="1:42" s="24" customFormat="1" x14ac:dyDescent="0.3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</row>
    <row r="2410" spans="1:42" s="24" customFormat="1" x14ac:dyDescent="0.3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</row>
    <row r="2411" spans="1:42" s="24" customFormat="1" x14ac:dyDescent="0.3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</row>
    <row r="2412" spans="1:42" s="24" customFormat="1" x14ac:dyDescent="0.3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</row>
    <row r="2413" spans="1:42" s="24" customFormat="1" x14ac:dyDescent="0.3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</row>
    <row r="2414" spans="1:42" s="24" customFormat="1" x14ac:dyDescent="0.3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</row>
    <row r="2415" spans="1:42" s="24" customFormat="1" x14ac:dyDescent="0.3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</row>
    <row r="2416" spans="1:42" s="24" customFormat="1" x14ac:dyDescent="0.3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</row>
    <row r="2417" spans="1:42" s="24" customFormat="1" x14ac:dyDescent="0.3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</row>
    <row r="2418" spans="1:42" s="24" customFormat="1" x14ac:dyDescent="0.3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</row>
    <row r="2419" spans="1:42" s="24" customFormat="1" x14ac:dyDescent="0.3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</row>
    <row r="2420" spans="1:42" s="24" customFormat="1" x14ac:dyDescent="0.3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</row>
    <row r="2421" spans="1:42" s="24" customFormat="1" x14ac:dyDescent="0.3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</row>
    <row r="2422" spans="1:42" s="24" customFormat="1" x14ac:dyDescent="0.3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</row>
    <row r="2423" spans="1:42" s="24" customFormat="1" x14ac:dyDescent="0.3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</row>
    <row r="2424" spans="1:42" s="24" customFormat="1" x14ac:dyDescent="0.3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</row>
    <row r="2425" spans="1:42" s="24" customFormat="1" x14ac:dyDescent="0.3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</row>
    <row r="2426" spans="1:42" s="24" customFormat="1" x14ac:dyDescent="0.3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</row>
    <row r="2427" spans="1:42" s="24" customFormat="1" x14ac:dyDescent="0.3">
      <c r="A2427" s="26"/>
      <c r="B2427" s="1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</row>
    <row r="2428" spans="1:42" s="24" customFormat="1" x14ac:dyDescent="0.3">
      <c r="A2428" s="26"/>
      <c r="B2428" s="17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</row>
    <row r="2429" spans="1:42" s="24" customFormat="1" x14ac:dyDescent="0.3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</row>
    <row r="2430" spans="1:42" s="24" customFormat="1" x14ac:dyDescent="0.3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</row>
    <row r="2431" spans="1:42" s="24" customFormat="1" x14ac:dyDescent="0.3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</row>
    <row r="2432" spans="1:42" s="24" customFormat="1" x14ac:dyDescent="0.3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</row>
    <row r="2433" spans="1:42" s="24" customFormat="1" x14ac:dyDescent="0.3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</row>
    <row r="2434" spans="1:42" s="24" customFormat="1" x14ac:dyDescent="0.3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</row>
    <row r="2435" spans="1:42" s="24" customFormat="1" x14ac:dyDescent="0.3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</row>
    <row r="2436" spans="1:42" s="24" customFormat="1" x14ac:dyDescent="0.3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</row>
    <row r="2437" spans="1:42" s="24" customFormat="1" x14ac:dyDescent="0.3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</row>
    <row r="2438" spans="1:42" s="24" customFormat="1" x14ac:dyDescent="0.3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</row>
    <row r="2439" spans="1:42" s="24" customFormat="1" x14ac:dyDescent="0.3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</row>
    <row r="2440" spans="1:42" s="24" customFormat="1" x14ac:dyDescent="0.3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</row>
    <row r="2441" spans="1:42" s="24" customFormat="1" x14ac:dyDescent="0.3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</row>
    <row r="2442" spans="1:42" s="24" customFormat="1" x14ac:dyDescent="0.3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</row>
    <row r="2443" spans="1:42" s="24" customFormat="1" x14ac:dyDescent="0.3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</row>
    <row r="2444" spans="1:42" s="24" customFormat="1" x14ac:dyDescent="0.3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</row>
    <row r="2445" spans="1:42" s="24" customFormat="1" x14ac:dyDescent="0.3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</row>
    <row r="2446" spans="1:42" s="24" customFormat="1" x14ac:dyDescent="0.3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</row>
    <row r="2447" spans="1:42" s="24" customFormat="1" x14ac:dyDescent="0.3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</row>
    <row r="2448" spans="1:42" s="24" customFormat="1" x14ac:dyDescent="0.3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</row>
    <row r="2449" spans="1:42" s="24" customFormat="1" x14ac:dyDescent="0.3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</row>
    <row r="2450" spans="1:42" s="24" customFormat="1" x14ac:dyDescent="0.3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</row>
    <row r="2451" spans="1:42" s="24" customFormat="1" x14ac:dyDescent="0.3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</row>
    <row r="2452" spans="1:42" s="24" customFormat="1" x14ac:dyDescent="0.3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</row>
    <row r="2453" spans="1:42" s="24" customFormat="1" x14ac:dyDescent="0.3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</row>
    <row r="2454" spans="1:42" s="24" customFormat="1" x14ac:dyDescent="0.3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</row>
    <row r="2455" spans="1:42" s="24" customFormat="1" x14ac:dyDescent="0.3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</row>
    <row r="2456" spans="1:42" s="24" customFormat="1" x14ac:dyDescent="0.3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</row>
    <row r="2457" spans="1:42" s="24" customFormat="1" x14ac:dyDescent="0.3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</row>
    <row r="2458" spans="1:42" s="24" customFormat="1" x14ac:dyDescent="0.3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</row>
    <row r="2459" spans="1:42" s="24" customFormat="1" x14ac:dyDescent="0.3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</row>
    <row r="2460" spans="1:42" s="24" customFormat="1" x14ac:dyDescent="0.3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</row>
    <row r="2461" spans="1:42" s="24" customFormat="1" x14ac:dyDescent="0.3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</row>
    <row r="2462" spans="1:42" s="24" customFormat="1" x14ac:dyDescent="0.3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</row>
    <row r="2463" spans="1:42" s="24" customFormat="1" x14ac:dyDescent="0.3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</row>
    <row r="2464" spans="1:42" s="24" customFormat="1" x14ac:dyDescent="0.3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</row>
    <row r="2465" spans="1:42" s="24" customFormat="1" x14ac:dyDescent="0.3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</row>
    <row r="2466" spans="1:42" s="24" customFormat="1" x14ac:dyDescent="0.3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</row>
    <row r="2467" spans="1:42" s="24" customFormat="1" x14ac:dyDescent="0.3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</row>
    <row r="2468" spans="1:42" s="24" customFormat="1" x14ac:dyDescent="0.3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</row>
    <row r="2469" spans="1:42" s="24" customFormat="1" x14ac:dyDescent="0.3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</row>
    <row r="2470" spans="1:42" s="24" customFormat="1" x14ac:dyDescent="0.3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</row>
    <row r="2471" spans="1:42" s="24" customFormat="1" x14ac:dyDescent="0.3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</row>
    <row r="2472" spans="1:42" s="24" customFormat="1" x14ac:dyDescent="0.3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</row>
    <row r="2473" spans="1:42" s="24" customFormat="1" x14ac:dyDescent="0.3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</row>
    <row r="2474" spans="1:42" s="24" customFormat="1" x14ac:dyDescent="0.3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</row>
    <row r="2475" spans="1:42" s="24" customFormat="1" x14ac:dyDescent="0.3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</row>
    <row r="2476" spans="1:42" s="24" customFormat="1" x14ac:dyDescent="0.3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</row>
    <row r="2477" spans="1:42" s="24" customFormat="1" x14ac:dyDescent="0.3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</row>
    <row r="2478" spans="1:42" s="24" customFormat="1" x14ac:dyDescent="0.3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</row>
    <row r="2479" spans="1:42" s="24" customFormat="1" x14ac:dyDescent="0.3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</row>
    <row r="2480" spans="1:42" s="24" customFormat="1" x14ac:dyDescent="0.3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</row>
    <row r="2481" spans="1:42" s="24" customFormat="1" x14ac:dyDescent="0.3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</row>
    <row r="2482" spans="1:42" s="24" customFormat="1" x14ac:dyDescent="0.3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</row>
    <row r="2483" spans="1:42" s="24" customFormat="1" x14ac:dyDescent="0.3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</row>
    <row r="2484" spans="1:42" s="24" customFormat="1" x14ac:dyDescent="0.3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</row>
    <row r="2485" spans="1:42" s="24" customFormat="1" x14ac:dyDescent="0.3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</row>
    <row r="2486" spans="1:42" s="24" customFormat="1" x14ac:dyDescent="0.3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</row>
    <row r="2487" spans="1:42" s="24" customFormat="1" x14ac:dyDescent="0.3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</row>
    <row r="2488" spans="1:42" s="24" customFormat="1" x14ac:dyDescent="0.3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</row>
    <row r="2489" spans="1:42" s="24" customFormat="1" x14ac:dyDescent="0.3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</row>
    <row r="2490" spans="1:42" s="24" customFormat="1" x14ac:dyDescent="0.3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</row>
    <row r="2491" spans="1:42" s="24" customFormat="1" x14ac:dyDescent="0.3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</row>
    <row r="2492" spans="1:42" s="24" customFormat="1" x14ac:dyDescent="0.3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</row>
    <row r="2493" spans="1:42" s="24" customFormat="1" x14ac:dyDescent="0.3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</row>
    <row r="2494" spans="1:42" s="24" customFormat="1" x14ac:dyDescent="0.3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</row>
    <row r="2495" spans="1:42" s="24" customFormat="1" x14ac:dyDescent="0.3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</row>
    <row r="2496" spans="1:42" s="24" customFormat="1" x14ac:dyDescent="0.3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</row>
    <row r="2497" spans="1:42" s="24" customFormat="1" x14ac:dyDescent="0.3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</row>
    <row r="2498" spans="1:42" s="24" customFormat="1" x14ac:dyDescent="0.3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</row>
    <row r="2499" spans="1:42" s="24" customFormat="1" x14ac:dyDescent="0.3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</row>
    <row r="2500" spans="1:42" s="24" customFormat="1" x14ac:dyDescent="0.3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</row>
    <row r="2501" spans="1:42" s="24" customFormat="1" x14ac:dyDescent="0.3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</row>
    <row r="2502" spans="1:42" s="24" customFormat="1" x14ac:dyDescent="0.3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</row>
    <row r="2503" spans="1:42" s="24" customFormat="1" x14ac:dyDescent="0.3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</row>
    <row r="2504" spans="1:42" s="24" customFormat="1" x14ac:dyDescent="0.3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</row>
    <row r="2505" spans="1:42" s="24" customFormat="1" x14ac:dyDescent="0.3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</row>
    <row r="2506" spans="1:42" s="24" customFormat="1" x14ac:dyDescent="0.3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</row>
    <row r="2507" spans="1:42" s="24" customFormat="1" x14ac:dyDescent="0.3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</row>
    <row r="2508" spans="1:42" s="24" customFormat="1" x14ac:dyDescent="0.3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</row>
    <row r="2509" spans="1:42" s="24" customFormat="1" x14ac:dyDescent="0.3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</row>
    <row r="2510" spans="1:42" s="24" customFormat="1" x14ac:dyDescent="0.3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</row>
    <row r="2511" spans="1:42" s="24" customFormat="1" x14ac:dyDescent="0.3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</row>
    <row r="2512" spans="1:42" s="24" customFormat="1" x14ac:dyDescent="0.3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</row>
    <row r="2513" spans="1:42" s="24" customFormat="1" x14ac:dyDescent="0.3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</row>
    <row r="2514" spans="1:42" s="24" customFormat="1" x14ac:dyDescent="0.3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</row>
    <row r="2515" spans="1:42" s="24" customFormat="1" x14ac:dyDescent="0.3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</row>
    <row r="2516" spans="1:42" s="24" customFormat="1" x14ac:dyDescent="0.3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</row>
    <row r="2517" spans="1:42" s="24" customFormat="1" x14ac:dyDescent="0.3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</row>
    <row r="2518" spans="1:42" s="24" customFormat="1" x14ac:dyDescent="0.3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</row>
    <row r="2519" spans="1:42" s="24" customFormat="1" x14ac:dyDescent="0.3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</row>
    <row r="2520" spans="1:42" s="24" customFormat="1" x14ac:dyDescent="0.3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</row>
    <row r="2521" spans="1:42" s="24" customFormat="1" x14ac:dyDescent="0.3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</row>
    <row r="2522" spans="1:42" s="24" customFormat="1" x14ac:dyDescent="0.3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</row>
    <row r="2523" spans="1:42" s="24" customFormat="1" x14ac:dyDescent="0.3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</row>
    <row r="2524" spans="1:42" s="24" customFormat="1" x14ac:dyDescent="0.3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</row>
    <row r="2525" spans="1:42" s="24" customFormat="1" x14ac:dyDescent="0.3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</row>
    <row r="2526" spans="1:42" s="24" customFormat="1" x14ac:dyDescent="0.3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</row>
    <row r="2527" spans="1:42" s="24" customFormat="1" x14ac:dyDescent="0.3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</row>
    <row r="2528" spans="1:42" s="24" customFormat="1" x14ac:dyDescent="0.3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</row>
    <row r="2529" spans="1:42" s="24" customFormat="1" x14ac:dyDescent="0.3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</row>
    <row r="2530" spans="1:42" s="24" customFormat="1" x14ac:dyDescent="0.3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</row>
    <row r="2531" spans="1:42" s="24" customFormat="1" x14ac:dyDescent="0.3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</row>
    <row r="2532" spans="1:42" s="24" customFormat="1" x14ac:dyDescent="0.3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</row>
    <row r="2533" spans="1:42" s="24" customFormat="1" x14ac:dyDescent="0.3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</row>
    <row r="2534" spans="1:42" s="24" customFormat="1" x14ac:dyDescent="0.3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</row>
    <row r="2535" spans="1:42" s="24" customFormat="1" x14ac:dyDescent="0.3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</row>
    <row r="2536" spans="1:42" s="24" customFormat="1" x14ac:dyDescent="0.3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</row>
    <row r="2537" spans="1:42" s="24" customFormat="1" x14ac:dyDescent="0.3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</row>
    <row r="2538" spans="1:42" s="24" customFormat="1" x14ac:dyDescent="0.3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</row>
    <row r="2539" spans="1:42" s="24" customFormat="1" x14ac:dyDescent="0.3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</row>
    <row r="2540" spans="1:42" s="24" customFormat="1" x14ac:dyDescent="0.3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</row>
    <row r="2541" spans="1:42" s="24" customFormat="1" x14ac:dyDescent="0.3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</row>
    <row r="2542" spans="1:42" s="24" customFormat="1" x14ac:dyDescent="0.3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</row>
    <row r="2543" spans="1:42" s="24" customFormat="1" x14ac:dyDescent="0.3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</row>
    <row r="2544" spans="1:42" s="24" customFormat="1" x14ac:dyDescent="0.3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</row>
    <row r="2545" spans="1:42" s="24" customFormat="1" x14ac:dyDescent="0.3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</row>
    <row r="2546" spans="1:42" s="24" customFormat="1" x14ac:dyDescent="0.3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</row>
    <row r="2547" spans="1:42" s="24" customFormat="1" x14ac:dyDescent="0.3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</row>
    <row r="2548" spans="1:42" s="24" customFormat="1" x14ac:dyDescent="0.3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</row>
    <row r="2549" spans="1:42" s="24" customFormat="1" x14ac:dyDescent="0.3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</row>
    <row r="2550" spans="1:42" s="24" customFormat="1" x14ac:dyDescent="0.3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</row>
    <row r="2551" spans="1:42" s="24" customFormat="1" x14ac:dyDescent="0.3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</row>
    <row r="2552" spans="1:42" s="24" customFormat="1" x14ac:dyDescent="0.3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</row>
    <row r="2553" spans="1:42" s="24" customFormat="1" x14ac:dyDescent="0.3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</row>
    <row r="2554" spans="1:42" s="24" customFormat="1" x14ac:dyDescent="0.3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</row>
    <row r="2555" spans="1:42" s="24" customFormat="1" x14ac:dyDescent="0.3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</row>
    <row r="2556" spans="1:42" s="24" customFormat="1" x14ac:dyDescent="0.3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</row>
    <row r="2557" spans="1:42" s="24" customFormat="1" x14ac:dyDescent="0.3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</row>
    <row r="2558" spans="1:42" s="24" customFormat="1" x14ac:dyDescent="0.3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</row>
    <row r="2559" spans="1:42" s="24" customFormat="1" x14ac:dyDescent="0.3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</row>
    <row r="2560" spans="1:42" s="24" customFormat="1" x14ac:dyDescent="0.3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</row>
    <row r="2561" spans="1:42" s="24" customFormat="1" x14ac:dyDescent="0.3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</row>
    <row r="2562" spans="1:42" s="24" customFormat="1" x14ac:dyDescent="0.3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</row>
    <row r="2563" spans="1:42" s="24" customFormat="1" x14ac:dyDescent="0.3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</row>
    <row r="2564" spans="1:42" s="24" customFormat="1" x14ac:dyDescent="0.3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</row>
    <row r="2565" spans="1:42" s="24" customFormat="1" x14ac:dyDescent="0.3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</row>
    <row r="2566" spans="1:42" s="24" customFormat="1" x14ac:dyDescent="0.3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</row>
    <row r="2567" spans="1:42" s="24" customFormat="1" x14ac:dyDescent="0.3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</row>
    <row r="2568" spans="1:42" s="24" customFormat="1" x14ac:dyDescent="0.3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</row>
    <row r="2569" spans="1:42" s="24" customFormat="1" x14ac:dyDescent="0.3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</row>
    <row r="2570" spans="1:42" s="24" customFormat="1" x14ac:dyDescent="0.3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</row>
    <row r="2571" spans="1:42" s="24" customFormat="1" x14ac:dyDescent="0.3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</row>
    <row r="2572" spans="1:42" s="24" customFormat="1" x14ac:dyDescent="0.3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</row>
    <row r="2573" spans="1:42" s="24" customFormat="1" x14ac:dyDescent="0.3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</row>
    <row r="2574" spans="1:42" s="24" customFormat="1" x14ac:dyDescent="0.3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</row>
    <row r="2575" spans="1:42" s="24" customFormat="1" x14ac:dyDescent="0.3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</row>
    <row r="2576" spans="1:42" s="24" customFormat="1" x14ac:dyDescent="0.3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</row>
    <row r="2577" spans="1:42" s="24" customFormat="1" x14ac:dyDescent="0.3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</row>
    <row r="2578" spans="1:42" s="24" customFormat="1" x14ac:dyDescent="0.3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</row>
    <row r="2579" spans="1:42" s="24" customFormat="1" x14ac:dyDescent="0.3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</row>
    <row r="2580" spans="1:42" s="24" customFormat="1" x14ac:dyDescent="0.3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</row>
    <row r="2581" spans="1:42" s="24" customFormat="1" x14ac:dyDescent="0.3">
      <c r="A2581" s="26"/>
      <c r="B2581" s="17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</row>
    <row r="2582" spans="1:42" s="24" customFormat="1" x14ac:dyDescent="0.3">
      <c r="A2582" s="26"/>
      <c r="B2582" s="17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</row>
    <row r="2583" spans="1:42" s="24" customFormat="1" x14ac:dyDescent="0.3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</row>
    <row r="2584" spans="1:42" s="24" customFormat="1" x14ac:dyDescent="0.3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</row>
    <row r="2585" spans="1:42" s="24" customFormat="1" x14ac:dyDescent="0.3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</row>
    <row r="2586" spans="1:42" s="24" customFormat="1" x14ac:dyDescent="0.3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</row>
    <row r="2587" spans="1:42" s="24" customFormat="1" x14ac:dyDescent="0.3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</row>
    <row r="2588" spans="1:42" s="24" customFormat="1" x14ac:dyDescent="0.3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</row>
    <row r="2589" spans="1:42" s="24" customFormat="1" x14ac:dyDescent="0.3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</row>
    <row r="2590" spans="1:42" s="24" customFormat="1" x14ac:dyDescent="0.3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</row>
    <row r="2591" spans="1:42" s="24" customFormat="1" x14ac:dyDescent="0.3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</row>
    <row r="2592" spans="1:42" s="24" customFormat="1" x14ac:dyDescent="0.3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</row>
    <row r="2593" spans="1:42" s="24" customFormat="1" x14ac:dyDescent="0.3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</row>
    <row r="2594" spans="1:42" s="24" customFormat="1" x14ac:dyDescent="0.3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</row>
    <row r="2595" spans="1:42" s="24" customFormat="1" x14ac:dyDescent="0.3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</row>
    <row r="2596" spans="1:42" s="24" customFormat="1" x14ac:dyDescent="0.3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</row>
    <row r="2597" spans="1:42" s="24" customFormat="1" x14ac:dyDescent="0.3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</row>
    <row r="2598" spans="1:42" s="24" customFormat="1" x14ac:dyDescent="0.3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</row>
    <row r="2599" spans="1:42" s="24" customFormat="1" x14ac:dyDescent="0.3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</row>
    <row r="2600" spans="1:42" s="24" customFormat="1" x14ac:dyDescent="0.3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</row>
    <row r="2601" spans="1:42" s="24" customFormat="1" x14ac:dyDescent="0.3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</row>
    <row r="2602" spans="1:42" s="24" customFormat="1" x14ac:dyDescent="0.3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</row>
    <row r="2603" spans="1:42" s="24" customFormat="1" x14ac:dyDescent="0.3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</row>
    <row r="2604" spans="1:42" s="24" customFormat="1" x14ac:dyDescent="0.3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</row>
    <row r="2605" spans="1:42" s="24" customFormat="1" x14ac:dyDescent="0.3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</row>
    <row r="2606" spans="1:42" s="24" customFormat="1" x14ac:dyDescent="0.3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</row>
    <row r="2607" spans="1:42" s="24" customFormat="1" x14ac:dyDescent="0.3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</row>
    <row r="2608" spans="1:42" s="24" customFormat="1" x14ac:dyDescent="0.3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</row>
    <row r="2609" spans="1:42" s="24" customFormat="1" x14ac:dyDescent="0.3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</row>
    <row r="2610" spans="1:42" s="24" customFormat="1" x14ac:dyDescent="0.3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</row>
    <row r="2611" spans="1:42" s="24" customFormat="1" x14ac:dyDescent="0.3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</row>
    <row r="2612" spans="1:42" s="24" customFormat="1" x14ac:dyDescent="0.3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</row>
    <row r="2613" spans="1:42" s="24" customFormat="1" x14ac:dyDescent="0.3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</row>
    <row r="2614" spans="1:42" s="24" customFormat="1" x14ac:dyDescent="0.3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</row>
    <row r="2615" spans="1:42" s="24" customFormat="1" x14ac:dyDescent="0.3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</row>
    <row r="2616" spans="1:42" s="24" customFormat="1" x14ac:dyDescent="0.3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</row>
    <row r="2617" spans="1:42" s="24" customFormat="1" x14ac:dyDescent="0.3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</row>
    <row r="2618" spans="1:42" s="24" customFormat="1" x14ac:dyDescent="0.3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</row>
    <row r="2619" spans="1:42" s="24" customFormat="1" x14ac:dyDescent="0.3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</row>
    <row r="2620" spans="1:42" s="24" customFormat="1" x14ac:dyDescent="0.3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</row>
    <row r="2621" spans="1:42" s="24" customFormat="1" x14ac:dyDescent="0.3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</row>
    <row r="2622" spans="1:42" s="24" customFormat="1" x14ac:dyDescent="0.3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</row>
    <row r="2623" spans="1:42" s="24" customFormat="1" x14ac:dyDescent="0.3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</row>
    <row r="2624" spans="1:42" s="24" customFormat="1" x14ac:dyDescent="0.3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</row>
    <row r="2625" spans="1:42" s="24" customFormat="1" x14ac:dyDescent="0.3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</row>
    <row r="2626" spans="1:42" s="24" customFormat="1" x14ac:dyDescent="0.3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</row>
    <row r="2627" spans="1:42" s="24" customFormat="1" x14ac:dyDescent="0.3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</row>
    <row r="2628" spans="1:42" s="24" customFormat="1" x14ac:dyDescent="0.3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</row>
    <row r="2629" spans="1:42" s="24" customFormat="1" x14ac:dyDescent="0.3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</row>
    <row r="2630" spans="1:42" s="24" customFormat="1" x14ac:dyDescent="0.3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</row>
    <row r="2631" spans="1:42" s="24" customFormat="1" x14ac:dyDescent="0.3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</row>
    <row r="2632" spans="1:42" s="24" customFormat="1" x14ac:dyDescent="0.3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</row>
    <row r="2633" spans="1:42" s="24" customFormat="1" x14ac:dyDescent="0.3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</row>
    <row r="2634" spans="1:42" s="24" customFormat="1" x14ac:dyDescent="0.3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</row>
    <row r="2635" spans="1:42" s="24" customFormat="1" x14ac:dyDescent="0.3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</row>
    <row r="2636" spans="1:42" s="24" customFormat="1" x14ac:dyDescent="0.3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</row>
    <row r="2637" spans="1:42" s="24" customFormat="1" x14ac:dyDescent="0.3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</row>
    <row r="2638" spans="1:42" s="24" customFormat="1" x14ac:dyDescent="0.3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</row>
    <row r="2639" spans="1:42" s="24" customFormat="1" x14ac:dyDescent="0.3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</row>
    <row r="2640" spans="1:42" s="24" customFormat="1" x14ac:dyDescent="0.3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</row>
    <row r="2641" spans="1:42" s="24" customFormat="1" x14ac:dyDescent="0.3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</row>
    <row r="2642" spans="1:42" s="24" customFormat="1" x14ac:dyDescent="0.3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</row>
    <row r="2643" spans="1:42" s="24" customFormat="1" x14ac:dyDescent="0.3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</row>
    <row r="2644" spans="1:42" s="24" customFormat="1" x14ac:dyDescent="0.3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</row>
    <row r="2645" spans="1:42" s="24" customFormat="1" x14ac:dyDescent="0.3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</row>
    <row r="2646" spans="1:42" s="24" customFormat="1" x14ac:dyDescent="0.3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</row>
    <row r="2647" spans="1:42" s="24" customFormat="1" x14ac:dyDescent="0.3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</row>
    <row r="2648" spans="1:42" s="24" customFormat="1" x14ac:dyDescent="0.3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</row>
    <row r="2649" spans="1:42" s="24" customFormat="1" x14ac:dyDescent="0.3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</row>
    <row r="2650" spans="1:42" s="24" customFormat="1" x14ac:dyDescent="0.3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</row>
    <row r="2651" spans="1:42" s="24" customFormat="1" x14ac:dyDescent="0.3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</row>
    <row r="2652" spans="1:42" s="24" customFormat="1" x14ac:dyDescent="0.3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</row>
    <row r="2653" spans="1:42" s="24" customFormat="1" x14ac:dyDescent="0.3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</row>
    <row r="2654" spans="1:42" s="24" customFormat="1" x14ac:dyDescent="0.3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</row>
    <row r="2655" spans="1:42" s="24" customFormat="1" x14ac:dyDescent="0.3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</row>
    <row r="2656" spans="1:42" s="24" customFormat="1" x14ac:dyDescent="0.3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</row>
    <row r="2657" spans="1:42" s="24" customFormat="1" x14ac:dyDescent="0.3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</row>
    <row r="2658" spans="1:42" s="24" customFormat="1" x14ac:dyDescent="0.3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</row>
    <row r="2659" spans="1:42" s="24" customFormat="1" x14ac:dyDescent="0.3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</row>
    <row r="2660" spans="1:42" s="24" customFormat="1" x14ac:dyDescent="0.3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</row>
    <row r="2661" spans="1:42" s="24" customFormat="1" x14ac:dyDescent="0.3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</row>
    <row r="2662" spans="1:42" s="24" customFormat="1" x14ac:dyDescent="0.3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</row>
    <row r="2663" spans="1:42" s="24" customFormat="1" x14ac:dyDescent="0.3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</row>
    <row r="2664" spans="1:42" s="24" customFormat="1" x14ac:dyDescent="0.3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</row>
    <row r="2665" spans="1:42" s="24" customFormat="1" x14ac:dyDescent="0.3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</row>
    <row r="2666" spans="1:42" s="24" customFormat="1" x14ac:dyDescent="0.3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</row>
    <row r="2667" spans="1:42" s="24" customFormat="1" x14ac:dyDescent="0.3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</row>
    <row r="2668" spans="1:42" s="24" customFormat="1" x14ac:dyDescent="0.3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</row>
    <row r="2669" spans="1:42" s="24" customFormat="1" x14ac:dyDescent="0.3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</row>
    <row r="2670" spans="1:42" s="24" customFormat="1" x14ac:dyDescent="0.3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</row>
    <row r="2671" spans="1:42" s="24" customFormat="1" x14ac:dyDescent="0.3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</row>
    <row r="2672" spans="1:42" s="24" customFormat="1" x14ac:dyDescent="0.3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</row>
    <row r="2673" spans="1:42" s="24" customFormat="1" x14ac:dyDescent="0.3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</row>
    <row r="2674" spans="1:42" s="24" customFormat="1" x14ac:dyDescent="0.3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</row>
    <row r="2675" spans="1:42" s="24" customFormat="1" x14ac:dyDescent="0.3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</row>
    <row r="2676" spans="1:42" s="24" customFormat="1" x14ac:dyDescent="0.3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</row>
    <row r="2677" spans="1:42" s="24" customFormat="1" x14ac:dyDescent="0.3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</row>
    <row r="2678" spans="1:42" s="24" customFormat="1" x14ac:dyDescent="0.3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</row>
    <row r="2679" spans="1:42" s="24" customFormat="1" x14ac:dyDescent="0.3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</row>
    <row r="2680" spans="1:42" s="24" customFormat="1" x14ac:dyDescent="0.3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</row>
    <row r="2681" spans="1:42" s="24" customFormat="1" x14ac:dyDescent="0.3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</row>
    <row r="2682" spans="1:42" s="24" customFormat="1" x14ac:dyDescent="0.3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</row>
    <row r="2683" spans="1:42" s="24" customFormat="1" x14ac:dyDescent="0.3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</row>
    <row r="2684" spans="1:42" s="24" customFormat="1" x14ac:dyDescent="0.3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</row>
    <row r="2685" spans="1:42" s="24" customFormat="1" x14ac:dyDescent="0.3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</row>
    <row r="2686" spans="1:42" s="24" customFormat="1" x14ac:dyDescent="0.3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</row>
    <row r="2687" spans="1:42" s="24" customFormat="1" x14ac:dyDescent="0.3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</row>
    <row r="2688" spans="1:42" s="24" customFormat="1" x14ac:dyDescent="0.3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</row>
    <row r="2689" spans="1:42" s="24" customFormat="1" x14ac:dyDescent="0.3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</row>
    <row r="2690" spans="1:42" s="24" customFormat="1" x14ac:dyDescent="0.3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</row>
    <row r="2691" spans="1:42" s="24" customFormat="1" x14ac:dyDescent="0.3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</row>
    <row r="2692" spans="1:42" s="24" customFormat="1" x14ac:dyDescent="0.3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</row>
    <row r="2693" spans="1:42" s="24" customFormat="1" x14ac:dyDescent="0.3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</row>
    <row r="2694" spans="1:42" s="24" customFormat="1" x14ac:dyDescent="0.3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</row>
    <row r="2695" spans="1:42" s="24" customFormat="1" x14ac:dyDescent="0.3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</row>
    <row r="2696" spans="1:42" s="24" customFormat="1" x14ac:dyDescent="0.3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</row>
    <row r="2697" spans="1:42" s="24" customFormat="1" x14ac:dyDescent="0.3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</row>
    <row r="2698" spans="1:42" s="24" customFormat="1" x14ac:dyDescent="0.3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</row>
    <row r="2699" spans="1:42" s="24" customFormat="1" x14ac:dyDescent="0.3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</row>
    <row r="2700" spans="1:42" s="24" customFormat="1" x14ac:dyDescent="0.3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</row>
    <row r="2701" spans="1:42" s="24" customFormat="1" x14ac:dyDescent="0.3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</row>
    <row r="2702" spans="1:42" s="24" customFormat="1" x14ac:dyDescent="0.3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</row>
    <row r="2703" spans="1:42" s="24" customFormat="1" x14ac:dyDescent="0.3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</row>
    <row r="2704" spans="1:42" s="24" customFormat="1" x14ac:dyDescent="0.3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</row>
    <row r="2705" spans="1:42" s="24" customFormat="1" x14ac:dyDescent="0.3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</row>
    <row r="2706" spans="1:42" s="24" customFormat="1" x14ac:dyDescent="0.3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</row>
    <row r="2707" spans="1:42" s="24" customFormat="1" x14ac:dyDescent="0.3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</row>
    <row r="2708" spans="1:42" s="24" customFormat="1" x14ac:dyDescent="0.3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</row>
    <row r="2709" spans="1:42" s="24" customFormat="1" x14ac:dyDescent="0.3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</row>
    <row r="2710" spans="1:42" s="24" customFormat="1" x14ac:dyDescent="0.3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</row>
    <row r="2711" spans="1:42" s="24" customFormat="1" x14ac:dyDescent="0.3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</row>
    <row r="2712" spans="1:42" s="24" customFormat="1" x14ac:dyDescent="0.3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</row>
    <row r="2713" spans="1:42" s="24" customFormat="1" x14ac:dyDescent="0.3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</row>
    <row r="2714" spans="1:42" s="24" customFormat="1" x14ac:dyDescent="0.3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</row>
    <row r="2715" spans="1:42" s="24" customFormat="1" x14ac:dyDescent="0.3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</row>
    <row r="2716" spans="1:42" s="24" customFormat="1" x14ac:dyDescent="0.3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</row>
    <row r="2717" spans="1:42" s="24" customFormat="1" x14ac:dyDescent="0.3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</row>
    <row r="2718" spans="1:42" s="24" customFormat="1" x14ac:dyDescent="0.3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</row>
    <row r="2719" spans="1:42" s="24" customFormat="1" x14ac:dyDescent="0.3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</row>
    <row r="2720" spans="1:42" s="24" customFormat="1" x14ac:dyDescent="0.3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</row>
    <row r="2721" spans="1:42" s="24" customFormat="1" x14ac:dyDescent="0.3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</row>
    <row r="2722" spans="1:42" s="24" customFormat="1" x14ac:dyDescent="0.3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</row>
    <row r="2723" spans="1:42" s="24" customFormat="1" x14ac:dyDescent="0.3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</row>
    <row r="2724" spans="1:42" s="24" customFormat="1" x14ac:dyDescent="0.3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</row>
    <row r="2725" spans="1:42" s="24" customFormat="1" x14ac:dyDescent="0.3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</row>
    <row r="2726" spans="1:42" s="24" customFormat="1" x14ac:dyDescent="0.3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</row>
    <row r="2727" spans="1:42" s="24" customFormat="1" x14ac:dyDescent="0.3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</row>
    <row r="2728" spans="1:42" s="24" customFormat="1" x14ac:dyDescent="0.3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</row>
    <row r="2729" spans="1:42" s="24" customFormat="1" x14ac:dyDescent="0.3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</row>
    <row r="2730" spans="1:42" s="24" customFormat="1" x14ac:dyDescent="0.3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</row>
    <row r="2731" spans="1:42" s="24" customFormat="1" x14ac:dyDescent="0.3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</row>
    <row r="2732" spans="1:42" s="24" customFormat="1" x14ac:dyDescent="0.3">
      <c r="A2732" s="26"/>
      <c r="B2732" s="17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</row>
    <row r="2733" spans="1:42" s="24" customFormat="1" x14ac:dyDescent="0.3">
      <c r="A2733" s="26"/>
      <c r="B2733" s="17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</row>
    <row r="2734" spans="1:42" s="24" customFormat="1" x14ac:dyDescent="0.3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</row>
    <row r="2735" spans="1:42" s="24" customFormat="1" x14ac:dyDescent="0.3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</row>
    <row r="2736" spans="1:42" s="24" customFormat="1" x14ac:dyDescent="0.3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</row>
    <row r="2737" spans="1:42" s="24" customFormat="1" x14ac:dyDescent="0.3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</row>
    <row r="2738" spans="1:42" s="24" customFormat="1" x14ac:dyDescent="0.3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</row>
    <row r="2739" spans="1:42" s="24" customFormat="1" x14ac:dyDescent="0.3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</row>
    <row r="2740" spans="1:42" s="24" customFormat="1" x14ac:dyDescent="0.3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</row>
    <row r="2741" spans="1:42" s="24" customFormat="1" x14ac:dyDescent="0.3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</row>
    <row r="2742" spans="1:42" s="24" customFormat="1" x14ac:dyDescent="0.3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</row>
    <row r="2743" spans="1:42" s="24" customFormat="1" x14ac:dyDescent="0.3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</row>
    <row r="2744" spans="1:42" s="24" customFormat="1" x14ac:dyDescent="0.3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</row>
    <row r="2745" spans="1:42" s="24" customFormat="1" x14ac:dyDescent="0.3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</row>
    <row r="2746" spans="1:42" s="24" customFormat="1" x14ac:dyDescent="0.3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</row>
    <row r="2747" spans="1:42" s="24" customFormat="1" x14ac:dyDescent="0.3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</row>
    <row r="2748" spans="1:42" s="24" customFormat="1" x14ac:dyDescent="0.3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</row>
    <row r="2749" spans="1:42" s="24" customFormat="1" x14ac:dyDescent="0.3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</row>
    <row r="2750" spans="1:42" s="24" customFormat="1" x14ac:dyDescent="0.3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</row>
    <row r="2751" spans="1:42" s="24" customFormat="1" x14ac:dyDescent="0.3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</row>
    <row r="2752" spans="1:42" s="24" customFormat="1" x14ac:dyDescent="0.3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</row>
    <row r="2753" spans="1:42" s="24" customFormat="1" x14ac:dyDescent="0.3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</row>
    <row r="2754" spans="1:42" s="24" customFormat="1" x14ac:dyDescent="0.3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</row>
    <row r="2755" spans="1:42" s="24" customFormat="1" x14ac:dyDescent="0.3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</row>
    <row r="2756" spans="1:42" s="24" customFormat="1" x14ac:dyDescent="0.3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</row>
    <row r="2757" spans="1:42" s="24" customFormat="1" x14ac:dyDescent="0.3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</row>
    <row r="2758" spans="1:42" s="24" customFormat="1" x14ac:dyDescent="0.3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</row>
    <row r="2759" spans="1:42" s="24" customFormat="1" x14ac:dyDescent="0.3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</row>
    <row r="2760" spans="1:42" s="24" customFormat="1" x14ac:dyDescent="0.3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</row>
    <row r="2761" spans="1:42" s="24" customFormat="1" x14ac:dyDescent="0.3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</row>
    <row r="2762" spans="1:42" s="24" customFormat="1" x14ac:dyDescent="0.3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</row>
    <row r="2763" spans="1:42" s="24" customFormat="1" x14ac:dyDescent="0.3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</row>
    <row r="2764" spans="1:42" s="24" customFormat="1" x14ac:dyDescent="0.3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</row>
    <row r="2765" spans="1:42" s="24" customFormat="1" x14ac:dyDescent="0.3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</row>
    <row r="2766" spans="1:42" s="24" customFormat="1" x14ac:dyDescent="0.3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</row>
    <row r="2767" spans="1:42" s="24" customFormat="1" x14ac:dyDescent="0.3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</row>
    <row r="2768" spans="1:42" s="24" customFormat="1" x14ac:dyDescent="0.3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</row>
    <row r="2769" spans="1:42" s="24" customFormat="1" x14ac:dyDescent="0.3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</row>
    <row r="2770" spans="1:42" s="24" customFormat="1" x14ac:dyDescent="0.3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</row>
    <row r="2771" spans="1:42" s="24" customFormat="1" x14ac:dyDescent="0.3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</row>
    <row r="2772" spans="1:42" s="24" customFormat="1" x14ac:dyDescent="0.3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</row>
    <row r="2773" spans="1:42" s="24" customFormat="1" x14ac:dyDescent="0.3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</row>
    <row r="2774" spans="1:42" s="24" customFormat="1" x14ac:dyDescent="0.3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</row>
    <row r="2775" spans="1:42" s="24" customFormat="1" x14ac:dyDescent="0.3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</row>
    <row r="2776" spans="1:42" s="24" customFormat="1" x14ac:dyDescent="0.3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</row>
    <row r="2777" spans="1:42" s="24" customFormat="1" x14ac:dyDescent="0.3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</row>
    <row r="2778" spans="1:42" s="24" customFormat="1" x14ac:dyDescent="0.3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</row>
    <row r="2779" spans="1:42" s="24" customFormat="1" x14ac:dyDescent="0.3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</row>
    <row r="2780" spans="1:42" s="24" customFormat="1" x14ac:dyDescent="0.3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</row>
    <row r="2781" spans="1:42" s="24" customFormat="1" x14ac:dyDescent="0.3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</row>
    <row r="2782" spans="1:42" s="24" customFormat="1" x14ac:dyDescent="0.3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</row>
    <row r="2783" spans="1:42" s="24" customFormat="1" x14ac:dyDescent="0.3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</row>
    <row r="2784" spans="1:42" s="24" customFormat="1" x14ac:dyDescent="0.3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</row>
    <row r="2785" spans="1:42" s="24" customFormat="1" x14ac:dyDescent="0.3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</row>
    <row r="2786" spans="1:42" s="24" customFormat="1" x14ac:dyDescent="0.3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</row>
    <row r="2787" spans="1:42" s="24" customFormat="1" x14ac:dyDescent="0.3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</row>
    <row r="2788" spans="1:42" s="24" customFormat="1" x14ac:dyDescent="0.3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</row>
    <row r="2789" spans="1:42" s="24" customFormat="1" x14ac:dyDescent="0.3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</row>
    <row r="2790" spans="1:42" s="24" customFormat="1" x14ac:dyDescent="0.3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</row>
    <row r="2791" spans="1:42" s="24" customFormat="1" x14ac:dyDescent="0.3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</row>
    <row r="2792" spans="1:42" s="24" customFormat="1" x14ac:dyDescent="0.3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</row>
    <row r="2793" spans="1:42" s="24" customFormat="1" x14ac:dyDescent="0.3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</row>
    <row r="2794" spans="1:42" s="24" customFormat="1" x14ac:dyDescent="0.3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</row>
    <row r="2795" spans="1:42" s="24" customFormat="1" x14ac:dyDescent="0.3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</row>
    <row r="2796" spans="1:42" s="24" customFormat="1" x14ac:dyDescent="0.3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</row>
    <row r="2797" spans="1:42" s="24" customFormat="1" x14ac:dyDescent="0.3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</row>
    <row r="2798" spans="1:42" s="24" customFormat="1" x14ac:dyDescent="0.3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</row>
    <row r="2799" spans="1:42" s="24" customFormat="1" x14ac:dyDescent="0.3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</row>
    <row r="2800" spans="1:42" s="24" customFormat="1" x14ac:dyDescent="0.3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</row>
    <row r="2801" spans="1:42" s="24" customFormat="1" x14ac:dyDescent="0.3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</row>
    <row r="2802" spans="1:42" s="24" customFormat="1" x14ac:dyDescent="0.3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</row>
    <row r="2803" spans="1:42" s="24" customFormat="1" x14ac:dyDescent="0.3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</row>
    <row r="2804" spans="1:42" s="24" customFormat="1" x14ac:dyDescent="0.3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</row>
    <row r="2805" spans="1:42" s="24" customFormat="1" x14ac:dyDescent="0.3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</row>
    <row r="2806" spans="1:42" s="24" customFormat="1" x14ac:dyDescent="0.3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</row>
    <row r="2807" spans="1:42" s="24" customFormat="1" x14ac:dyDescent="0.3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</row>
    <row r="2808" spans="1:42" s="24" customFormat="1" x14ac:dyDescent="0.3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</row>
    <row r="2809" spans="1:42" s="24" customFormat="1" x14ac:dyDescent="0.3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</row>
    <row r="2810" spans="1:42" s="24" customFormat="1" x14ac:dyDescent="0.3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</row>
    <row r="2811" spans="1:42" s="24" customFormat="1" x14ac:dyDescent="0.3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</row>
    <row r="2812" spans="1:42" s="24" customFormat="1" x14ac:dyDescent="0.3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</row>
    <row r="2813" spans="1:42" s="24" customFormat="1" x14ac:dyDescent="0.3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</row>
    <row r="2814" spans="1:42" s="24" customFormat="1" x14ac:dyDescent="0.3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</row>
    <row r="2815" spans="1:42" s="24" customFormat="1" x14ac:dyDescent="0.3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</row>
    <row r="2816" spans="1:42" s="24" customFormat="1" x14ac:dyDescent="0.3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</row>
    <row r="2817" spans="1:42" s="24" customFormat="1" x14ac:dyDescent="0.3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</row>
    <row r="2818" spans="1:42" s="24" customFormat="1" x14ac:dyDescent="0.3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</row>
    <row r="2819" spans="1:42" s="24" customFormat="1" x14ac:dyDescent="0.3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</row>
    <row r="2820" spans="1:42" s="24" customFormat="1" x14ac:dyDescent="0.3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</row>
    <row r="2821" spans="1:42" s="24" customFormat="1" x14ac:dyDescent="0.3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</row>
    <row r="2822" spans="1:42" s="24" customFormat="1" x14ac:dyDescent="0.3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</row>
    <row r="2823" spans="1:42" s="24" customFormat="1" x14ac:dyDescent="0.3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</row>
    <row r="2824" spans="1:42" s="24" customFormat="1" x14ac:dyDescent="0.3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</row>
    <row r="2825" spans="1:42" s="24" customFormat="1" x14ac:dyDescent="0.3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</row>
    <row r="2826" spans="1:42" s="24" customFormat="1" x14ac:dyDescent="0.3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</row>
    <row r="2827" spans="1:42" s="24" customFormat="1" x14ac:dyDescent="0.3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</row>
    <row r="2828" spans="1:42" s="24" customFormat="1" x14ac:dyDescent="0.3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</row>
    <row r="2829" spans="1:42" s="24" customFormat="1" x14ac:dyDescent="0.3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</row>
    <row r="2830" spans="1:42" s="24" customFormat="1" x14ac:dyDescent="0.3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</row>
    <row r="2831" spans="1:42" s="24" customFormat="1" x14ac:dyDescent="0.3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</row>
    <row r="2832" spans="1:42" s="24" customFormat="1" x14ac:dyDescent="0.3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</row>
    <row r="2833" spans="1:42" s="24" customFormat="1" x14ac:dyDescent="0.3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</row>
    <row r="2834" spans="1:42" s="24" customFormat="1" x14ac:dyDescent="0.3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</row>
    <row r="2835" spans="1:42" s="24" customFormat="1" x14ac:dyDescent="0.3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</row>
    <row r="2836" spans="1:42" s="24" customFormat="1" x14ac:dyDescent="0.3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</row>
    <row r="2837" spans="1:42" s="24" customFormat="1" x14ac:dyDescent="0.3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</row>
    <row r="2838" spans="1:42" s="24" customFormat="1" x14ac:dyDescent="0.3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</row>
    <row r="2839" spans="1:42" s="24" customFormat="1" x14ac:dyDescent="0.3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</row>
    <row r="2840" spans="1:42" s="24" customFormat="1" x14ac:dyDescent="0.3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</row>
    <row r="2841" spans="1:42" s="24" customFormat="1" x14ac:dyDescent="0.3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</row>
    <row r="2842" spans="1:42" s="24" customFormat="1" x14ac:dyDescent="0.3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</row>
    <row r="2843" spans="1:42" s="24" customFormat="1" x14ac:dyDescent="0.3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</row>
    <row r="2844" spans="1:42" s="24" customFormat="1" x14ac:dyDescent="0.3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</row>
    <row r="2845" spans="1:42" s="24" customFormat="1" x14ac:dyDescent="0.3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</row>
    <row r="2846" spans="1:42" s="24" customFormat="1" x14ac:dyDescent="0.3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</row>
    <row r="2847" spans="1:42" s="24" customFormat="1" x14ac:dyDescent="0.3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</row>
    <row r="2848" spans="1:42" s="24" customFormat="1" x14ac:dyDescent="0.3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</row>
    <row r="2849" spans="1:42" s="24" customFormat="1" x14ac:dyDescent="0.3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</row>
    <row r="2850" spans="1:42" s="24" customFormat="1" x14ac:dyDescent="0.3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</row>
    <row r="2851" spans="1:42" s="24" customFormat="1" x14ac:dyDescent="0.3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</row>
    <row r="2852" spans="1:42" s="24" customFormat="1" x14ac:dyDescent="0.3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</row>
    <row r="2853" spans="1:42" s="24" customFormat="1" x14ac:dyDescent="0.3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</row>
    <row r="2854" spans="1:42" s="24" customFormat="1" x14ac:dyDescent="0.3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</row>
    <row r="2855" spans="1:42" s="24" customFormat="1" x14ac:dyDescent="0.3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</row>
    <row r="2856" spans="1:42" s="24" customFormat="1" x14ac:dyDescent="0.3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</row>
    <row r="2857" spans="1:42" s="24" customFormat="1" x14ac:dyDescent="0.3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</row>
    <row r="2858" spans="1:42" s="24" customFormat="1" x14ac:dyDescent="0.3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</row>
    <row r="2859" spans="1:42" s="24" customFormat="1" x14ac:dyDescent="0.3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</row>
    <row r="2860" spans="1:42" s="24" customFormat="1" x14ac:dyDescent="0.3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</row>
    <row r="2861" spans="1:42" s="24" customFormat="1" x14ac:dyDescent="0.3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</row>
    <row r="2862" spans="1:42" s="24" customFormat="1" x14ac:dyDescent="0.3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</row>
    <row r="2863" spans="1:42" s="24" customFormat="1" x14ac:dyDescent="0.3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</row>
    <row r="2864" spans="1:42" s="24" customFormat="1" x14ac:dyDescent="0.3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</row>
    <row r="2865" spans="1:42" s="24" customFormat="1" x14ac:dyDescent="0.3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</row>
    <row r="2866" spans="1:42" s="24" customFormat="1" x14ac:dyDescent="0.3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</row>
    <row r="2867" spans="1:42" s="24" customFormat="1" x14ac:dyDescent="0.3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</row>
    <row r="2868" spans="1:42" s="24" customFormat="1" x14ac:dyDescent="0.3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</row>
    <row r="2869" spans="1:42" s="24" customFormat="1" x14ac:dyDescent="0.3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</row>
    <row r="2870" spans="1:42" s="24" customFormat="1" x14ac:dyDescent="0.3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</row>
    <row r="2871" spans="1:42" s="24" customFormat="1" x14ac:dyDescent="0.3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</row>
    <row r="2872" spans="1:42" s="24" customFormat="1" x14ac:dyDescent="0.3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</row>
    <row r="2873" spans="1:42" s="24" customFormat="1" x14ac:dyDescent="0.3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</row>
    <row r="2874" spans="1:42" s="24" customFormat="1" x14ac:dyDescent="0.3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</row>
    <row r="2875" spans="1:42" s="24" customFormat="1" x14ac:dyDescent="0.3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</row>
    <row r="2876" spans="1:42" s="24" customFormat="1" x14ac:dyDescent="0.3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</row>
    <row r="2877" spans="1:42" s="24" customFormat="1" x14ac:dyDescent="0.3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</row>
    <row r="2878" spans="1:42" s="24" customFormat="1" x14ac:dyDescent="0.3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</row>
    <row r="2879" spans="1:42" s="24" customFormat="1" x14ac:dyDescent="0.3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</row>
    <row r="2880" spans="1:42" s="24" customFormat="1" x14ac:dyDescent="0.3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</row>
    <row r="2881" spans="1:42" s="24" customFormat="1" x14ac:dyDescent="0.3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</row>
    <row r="2882" spans="1:42" s="24" customFormat="1" x14ac:dyDescent="0.3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</row>
    <row r="2883" spans="1:42" s="24" customFormat="1" x14ac:dyDescent="0.3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</row>
    <row r="2884" spans="1:42" s="24" customFormat="1" x14ac:dyDescent="0.3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</row>
    <row r="2885" spans="1:42" s="24" customFormat="1" x14ac:dyDescent="0.3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</row>
    <row r="2886" spans="1:42" s="24" customFormat="1" x14ac:dyDescent="0.3">
      <c r="A2886" s="26"/>
      <c r="B2886" s="17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</row>
    <row r="2887" spans="1:42" s="24" customFormat="1" x14ac:dyDescent="0.3">
      <c r="A2887" s="26"/>
      <c r="B2887" s="1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</row>
    <row r="2888" spans="1:42" s="24" customFormat="1" x14ac:dyDescent="0.3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</row>
    <row r="2889" spans="1:42" s="24" customFormat="1" x14ac:dyDescent="0.3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</row>
    <row r="2890" spans="1:42" s="24" customFormat="1" x14ac:dyDescent="0.3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</row>
    <row r="2891" spans="1:42" s="24" customFormat="1" x14ac:dyDescent="0.3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</row>
    <row r="2892" spans="1:42" s="24" customFormat="1" x14ac:dyDescent="0.3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</row>
    <row r="2893" spans="1:42" s="24" customFormat="1" x14ac:dyDescent="0.3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</row>
    <row r="2894" spans="1:42" s="24" customFormat="1" x14ac:dyDescent="0.3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</row>
    <row r="2895" spans="1:42" s="24" customFormat="1" x14ac:dyDescent="0.3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</row>
    <row r="2896" spans="1:42" s="24" customFormat="1" x14ac:dyDescent="0.3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</row>
    <row r="2897" spans="1:42" s="24" customFormat="1" x14ac:dyDescent="0.3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</row>
    <row r="2898" spans="1:42" s="24" customFormat="1" x14ac:dyDescent="0.3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</row>
    <row r="2899" spans="1:42" s="24" customFormat="1" x14ac:dyDescent="0.3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</row>
    <row r="2900" spans="1:42" s="24" customFormat="1" x14ac:dyDescent="0.3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</row>
    <row r="2901" spans="1:42" s="24" customFormat="1" x14ac:dyDescent="0.3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</row>
    <row r="2902" spans="1:42" s="24" customFormat="1" x14ac:dyDescent="0.3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</row>
    <row r="2903" spans="1:42" s="24" customFormat="1" x14ac:dyDescent="0.3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</row>
    <row r="2904" spans="1:42" s="24" customFormat="1" x14ac:dyDescent="0.3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</row>
    <row r="2905" spans="1:42" s="24" customFormat="1" x14ac:dyDescent="0.3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</row>
    <row r="2906" spans="1:42" s="24" customFormat="1" x14ac:dyDescent="0.3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</row>
    <row r="2907" spans="1:42" s="24" customFormat="1" x14ac:dyDescent="0.3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</row>
    <row r="2908" spans="1:42" s="24" customFormat="1" x14ac:dyDescent="0.3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</row>
    <row r="2909" spans="1:42" s="24" customFormat="1" x14ac:dyDescent="0.3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</row>
    <row r="2910" spans="1:42" s="24" customFormat="1" x14ac:dyDescent="0.3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</row>
    <row r="2911" spans="1:42" s="24" customFormat="1" x14ac:dyDescent="0.3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</row>
    <row r="2912" spans="1:42" s="24" customFormat="1" x14ac:dyDescent="0.3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</row>
    <row r="2913" spans="1:42" s="24" customFormat="1" x14ac:dyDescent="0.3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</row>
    <row r="2914" spans="1:42" s="24" customFormat="1" x14ac:dyDescent="0.3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</row>
    <row r="2915" spans="1:42" s="24" customFormat="1" x14ac:dyDescent="0.3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</row>
    <row r="2916" spans="1:42" s="24" customFormat="1" x14ac:dyDescent="0.3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</row>
    <row r="2917" spans="1:42" s="24" customFormat="1" x14ac:dyDescent="0.3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</row>
    <row r="2918" spans="1:42" s="24" customFormat="1" x14ac:dyDescent="0.3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</row>
    <row r="2919" spans="1:42" s="24" customFormat="1" x14ac:dyDescent="0.3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</row>
    <row r="2920" spans="1:42" s="24" customFormat="1" x14ac:dyDescent="0.3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</row>
    <row r="2921" spans="1:42" s="24" customFormat="1" x14ac:dyDescent="0.3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</row>
    <row r="2922" spans="1:42" s="24" customFormat="1" x14ac:dyDescent="0.3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</row>
    <row r="2923" spans="1:42" s="24" customFormat="1" x14ac:dyDescent="0.3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</row>
    <row r="2924" spans="1:42" s="24" customFormat="1" x14ac:dyDescent="0.3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</row>
    <row r="2925" spans="1:42" s="24" customFormat="1" x14ac:dyDescent="0.3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</row>
    <row r="2926" spans="1:42" s="24" customFormat="1" x14ac:dyDescent="0.3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</row>
    <row r="2927" spans="1:42" s="24" customFormat="1" x14ac:dyDescent="0.3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</row>
    <row r="2928" spans="1:42" s="24" customFormat="1" x14ac:dyDescent="0.3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</row>
    <row r="2929" spans="1:42" s="24" customFormat="1" x14ac:dyDescent="0.3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</row>
    <row r="2930" spans="1:42" s="24" customFormat="1" x14ac:dyDescent="0.3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</row>
    <row r="2931" spans="1:42" s="24" customFormat="1" x14ac:dyDescent="0.3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</row>
    <row r="2932" spans="1:42" s="24" customFormat="1" x14ac:dyDescent="0.3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</row>
    <row r="2933" spans="1:42" s="24" customFormat="1" x14ac:dyDescent="0.3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</row>
    <row r="2934" spans="1:42" s="24" customFormat="1" x14ac:dyDescent="0.3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</row>
    <row r="2935" spans="1:42" s="24" customFormat="1" x14ac:dyDescent="0.3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</row>
    <row r="2936" spans="1:42" s="24" customFormat="1" x14ac:dyDescent="0.3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</row>
    <row r="2937" spans="1:42" s="24" customFormat="1" x14ac:dyDescent="0.3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</row>
    <row r="2938" spans="1:42" s="24" customFormat="1" x14ac:dyDescent="0.3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</row>
    <row r="2939" spans="1:42" s="24" customFormat="1" x14ac:dyDescent="0.3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</row>
    <row r="2940" spans="1:42" s="24" customFormat="1" x14ac:dyDescent="0.3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</row>
    <row r="2941" spans="1:42" s="24" customFormat="1" x14ac:dyDescent="0.3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</row>
    <row r="2942" spans="1:42" s="24" customFormat="1" x14ac:dyDescent="0.3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</row>
    <row r="2943" spans="1:42" s="24" customFormat="1" x14ac:dyDescent="0.3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</row>
    <row r="2944" spans="1:42" s="24" customFormat="1" x14ac:dyDescent="0.3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</row>
    <row r="2945" spans="1:42" s="24" customFormat="1" x14ac:dyDescent="0.3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</row>
    <row r="2946" spans="1:42" s="24" customFormat="1" x14ac:dyDescent="0.3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</row>
    <row r="2947" spans="1:42" s="24" customFormat="1" x14ac:dyDescent="0.3">
      <c r="A2947" s="17"/>
      <c r="B2947" s="17"/>
    </row>
    <row r="2948" spans="1:42" s="24" customFormat="1" x14ac:dyDescent="0.3">
      <c r="A2948" s="17"/>
      <c r="B2948" s="17"/>
    </row>
    <row r="2949" spans="1:42" s="24" customFormat="1" x14ac:dyDescent="0.3">
      <c r="A2949" s="17"/>
      <c r="B2949" s="17"/>
    </row>
    <row r="2950" spans="1:42" s="24" customFormat="1" x14ac:dyDescent="0.3">
      <c r="A2950" s="17"/>
      <c r="B2950" s="17"/>
    </row>
    <row r="2951" spans="1:42" s="24" customFormat="1" x14ac:dyDescent="0.3">
      <c r="A2951" s="17"/>
      <c r="B2951" s="17"/>
    </row>
    <row r="2952" spans="1:42" s="24" customFormat="1" x14ac:dyDescent="0.3">
      <c r="A2952" s="17"/>
      <c r="B2952" s="17"/>
    </row>
    <row r="2953" spans="1:42" s="24" customFormat="1" x14ac:dyDescent="0.3">
      <c r="A2953" s="17"/>
      <c r="B2953" s="17"/>
    </row>
    <row r="2954" spans="1:42" s="24" customFormat="1" x14ac:dyDescent="0.3">
      <c r="A2954" s="17"/>
      <c r="B2954" s="17"/>
    </row>
    <row r="2955" spans="1:42" s="24" customFormat="1" x14ac:dyDescent="0.3">
      <c r="A2955" s="17"/>
      <c r="B2955" s="17"/>
    </row>
    <row r="2956" spans="1:42" s="24" customFormat="1" x14ac:dyDescent="0.3">
      <c r="A2956" s="17"/>
      <c r="B2956" s="17"/>
    </row>
    <row r="2957" spans="1:42" s="24" customFormat="1" x14ac:dyDescent="0.3">
      <c r="A2957" s="17"/>
      <c r="B2957" s="17"/>
    </row>
    <row r="2958" spans="1:42" s="24" customFormat="1" x14ac:dyDescent="0.3">
      <c r="A2958" s="17"/>
      <c r="B2958" s="17"/>
    </row>
    <row r="2959" spans="1:42" s="24" customFormat="1" x14ac:dyDescent="0.3">
      <c r="A2959" s="17"/>
      <c r="B2959" s="17"/>
    </row>
    <row r="2960" spans="1:42" s="24" customFormat="1" x14ac:dyDescent="0.3">
      <c r="A2960" s="17"/>
      <c r="B2960" s="17"/>
    </row>
    <row r="2961" spans="1:2" s="24" customFormat="1" x14ac:dyDescent="0.3">
      <c r="A2961" s="17"/>
      <c r="B2961" s="17"/>
    </row>
    <row r="2962" spans="1:2" s="24" customFormat="1" x14ac:dyDescent="0.3">
      <c r="A2962" s="17"/>
      <c r="B2962" s="17"/>
    </row>
    <row r="2963" spans="1:2" s="24" customFormat="1" x14ac:dyDescent="0.3">
      <c r="A2963" s="17"/>
      <c r="B2963" s="17"/>
    </row>
    <row r="2964" spans="1:2" s="24" customFormat="1" x14ac:dyDescent="0.3">
      <c r="A2964" s="17"/>
      <c r="B2964" s="17"/>
    </row>
    <row r="2965" spans="1:2" s="24" customFormat="1" x14ac:dyDescent="0.3">
      <c r="A2965" s="17"/>
      <c r="B2965" s="17"/>
    </row>
    <row r="2966" spans="1:2" s="24" customFormat="1" x14ac:dyDescent="0.3">
      <c r="A2966" s="17"/>
      <c r="B2966" s="17"/>
    </row>
    <row r="2967" spans="1:2" s="24" customFormat="1" x14ac:dyDescent="0.3">
      <c r="A2967" s="17"/>
      <c r="B2967" s="17"/>
    </row>
    <row r="2968" spans="1:2" s="24" customFormat="1" x14ac:dyDescent="0.3">
      <c r="A2968" s="17"/>
      <c r="B2968" s="17"/>
    </row>
    <row r="2969" spans="1:2" s="24" customFormat="1" x14ac:dyDescent="0.3">
      <c r="A2969" s="17"/>
      <c r="B2969" s="17"/>
    </row>
    <row r="2970" spans="1:2" s="24" customFormat="1" x14ac:dyDescent="0.3">
      <c r="A2970" s="17"/>
      <c r="B2970" s="17"/>
    </row>
    <row r="2971" spans="1:2" s="24" customFormat="1" x14ac:dyDescent="0.3">
      <c r="A2971" s="17"/>
      <c r="B2971" s="17"/>
    </row>
    <row r="2972" spans="1:2" s="24" customFormat="1" x14ac:dyDescent="0.3">
      <c r="A2972" s="17"/>
      <c r="B2972" s="17"/>
    </row>
    <row r="2973" spans="1:2" s="24" customFormat="1" x14ac:dyDescent="0.3">
      <c r="A2973" s="17"/>
      <c r="B2973" s="17"/>
    </row>
    <row r="2974" spans="1:2" s="24" customFormat="1" x14ac:dyDescent="0.3">
      <c r="A2974" s="17"/>
      <c r="B2974" s="17"/>
    </row>
    <row r="2975" spans="1:2" s="24" customFormat="1" x14ac:dyDescent="0.3">
      <c r="A2975" s="17"/>
      <c r="B2975" s="17"/>
    </row>
    <row r="2976" spans="1:2" s="24" customFormat="1" x14ac:dyDescent="0.3">
      <c r="A2976" s="17"/>
      <c r="B2976" s="17"/>
    </row>
    <row r="2977" spans="1:2" s="24" customFormat="1" x14ac:dyDescent="0.3">
      <c r="A2977" s="17"/>
      <c r="B2977" s="17"/>
    </row>
    <row r="2978" spans="1:2" s="24" customFormat="1" x14ac:dyDescent="0.3">
      <c r="A2978" s="17"/>
      <c r="B2978" s="17"/>
    </row>
    <row r="2979" spans="1:2" s="24" customFormat="1" x14ac:dyDescent="0.3">
      <c r="A2979" s="17"/>
      <c r="B2979" s="17"/>
    </row>
    <row r="2980" spans="1:2" s="24" customFormat="1" x14ac:dyDescent="0.3">
      <c r="A2980" s="17"/>
      <c r="B2980" s="17"/>
    </row>
    <row r="2981" spans="1:2" s="24" customFormat="1" x14ac:dyDescent="0.3">
      <c r="A2981" s="17"/>
      <c r="B2981" s="17"/>
    </row>
    <row r="2982" spans="1:2" s="24" customFormat="1" x14ac:dyDescent="0.3">
      <c r="A2982" s="17"/>
      <c r="B2982" s="17"/>
    </row>
    <row r="2983" spans="1:2" s="24" customFormat="1" x14ac:dyDescent="0.3">
      <c r="A2983" s="17"/>
      <c r="B2983" s="17"/>
    </row>
    <row r="2984" spans="1:2" s="24" customFormat="1" x14ac:dyDescent="0.3">
      <c r="A2984" s="17"/>
      <c r="B2984" s="17"/>
    </row>
    <row r="2985" spans="1:2" s="24" customFormat="1" x14ac:dyDescent="0.3">
      <c r="A2985" s="17"/>
      <c r="B2985" s="17"/>
    </row>
    <row r="2986" spans="1:2" s="24" customFormat="1" x14ac:dyDescent="0.3">
      <c r="A2986" s="17"/>
      <c r="B2986" s="17"/>
    </row>
    <row r="2987" spans="1:2" s="24" customFormat="1" x14ac:dyDescent="0.3">
      <c r="A2987" s="17"/>
      <c r="B2987" s="17"/>
    </row>
    <row r="2988" spans="1:2" s="24" customFormat="1" x14ac:dyDescent="0.3">
      <c r="A2988" s="17"/>
      <c r="B2988" s="17"/>
    </row>
    <row r="2989" spans="1:2" s="24" customFormat="1" x14ac:dyDescent="0.3">
      <c r="A2989" s="17"/>
      <c r="B2989" s="17"/>
    </row>
    <row r="2990" spans="1:2" s="24" customFormat="1" x14ac:dyDescent="0.3">
      <c r="A2990" s="17"/>
      <c r="B2990" s="17"/>
    </row>
    <row r="2991" spans="1:2" s="24" customFormat="1" x14ac:dyDescent="0.3">
      <c r="A2991" s="17"/>
      <c r="B2991" s="17"/>
    </row>
    <row r="2992" spans="1:2" s="24" customFormat="1" x14ac:dyDescent="0.3">
      <c r="A2992" s="17"/>
      <c r="B2992" s="17"/>
    </row>
    <row r="2993" spans="1:2" s="24" customFormat="1" x14ac:dyDescent="0.3">
      <c r="A2993" s="17"/>
      <c r="B2993" s="17"/>
    </row>
    <row r="2994" spans="1:2" s="24" customFormat="1" x14ac:dyDescent="0.3">
      <c r="A2994" s="17"/>
      <c r="B2994" s="17"/>
    </row>
    <row r="2995" spans="1:2" s="24" customFormat="1" x14ac:dyDescent="0.3">
      <c r="A2995" s="17"/>
      <c r="B2995" s="17"/>
    </row>
    <row r="2996" spans="1:2" s="24" customFormat="1" x14ac:dyDescent="0.3">
      <c r="A2996" s="17"/>
      <c r="B2996" s="17"/>
    </row>
    <row r="2997" spans="1:2" s="24" customFormat="1" x14ac:dyDescent="0.3">
      <c r="A2997" s="17"/>
      <c r="B2997" s="17"/>
    </row>
    <row r="2998" spans="1:2" s="24" customFormat="1" x14ac:dyDescent="0.3">
      <c r="A2998" s="17"/>
      <c r="B2998" s="17"/>
    </row>
    <row r="2999" spans="1:2" s="24" customFormat="1" x14ac:dyDescent="0.3">
      <c r="A2999" s="17"/>
      <c r="B2999" s="17"/>
    </row>
    <row r="3000" spans="1:2" s="24" customFormat="1" x14ac:dyDescent="0.3">
      <c r="A3000" s="17"/>
      <c r="B3000" s="17"/>
    </row>
    <row r="3001" spans="1:2" s="24" customFormat="1" x14ac:dyDescent="0.3">
      <c r="A3001" s="17"/>
      <c r="B3001" s="17"/>
    </row>
    <row r="3002" spans="1:2" s="24" customFormat="1" x14ac:dyDescent="0.3">
      <c r="A3002" s="17"/>
      <c r="B3002" s="17"/>
    </row>
    <row r="3003" spans="1:2" s="24" customFormat="1" x14ac:dyDescent="0.3">
      <c r="A3003" s="17"/>
      <c r="B3003" s="17"/>
    </row>
    <row r="3004" spans="1:2" s="24" customFormat="1" x14ac:dyDescent="0.3">
      <c r="A3004" s="17"/>
      <c r="B3004" s="17"/>
    </row>
    <row r="3005" spans="1:2" s="24" customFormat="1" x14ac:dyDescent="0.3">
      <c r="A3005" s="17"/>
      <c r="B3005" s="17"/>
    </row>
    <row r="3006" spans="1:2" s="24" customFormat="1" x14ac:dyDescent="0.3">
      <c r="A3006" s="17"/>
      <c r="B3006" s="17"/>
    </row>
    <row r="3007" spans="1:2" s="24" customFormat="1" x14ac:dyDescent="0.3">
      <c r="A3007" s="17"/>
      <c r="B3007" s="17"/>
    </row>
    <row r="3008" spans="1:2" s="24" customFormat="1" x14ac:dyDescent="0.3">
      <c r="A3008" s="17"/>
      <c r="B3008" s="17"/>
    </row>
    <row r="3009" spans="1:2" s="24" customFormat="1" x14ac:dyDescent="0.3">
      <c r="A3009" s="17"/>
      <c r="B3009" s="17"/>
    </row>
    <row r="3010" spans="1:2" s="24" customFormat="1" x14ac:dyDescent="0.3">
      <c r="A3010" s="17"/>
      <c r="B3010" s="17"/>
    </row>
    <row r="3011" spans="1:2" s="24" customFormat="1" x14ac:dyDescent="0.3">
      <c r="A3011" s="17"/>
      <c r="B3011" s="17"/>
    </row>
    <row r="3012" spans="1:2" s="24" customFormat="1" x14ac:dyDescent="0.3">
      <c r="A3012" s="17"/>
      <c r="B3012" s="17"/>
    </row>
    <row r="3013" spans="1:2" s="24" customFormat="1" x14ac:dyDescent="0.3">
      <c r="A3013" s="17"/>
      <c r="B3013" s="17"/>
    </row>
    <row r="3014" spans="1:2" s="24" customFormat="1" x14ac:dyDescent="0.3">
      <c r="A3014" s="17"/>
      <c r="B3014" s="17"/>
    </row>
    <row r="3015" spans="1:2" s="24" customFormat="1" x14ac:dyDescent="0.3">
      <c r="A3015" s="17"/>
      <c r="B3015" s="17"/>
    </row>
    <row r="3016" spans="1:2" s="24" customFormat="1" x14ac:dyDescent="0.3">
      <c r="A3016" s="17"/>
      <c r="B3016" s="17"/>
    </row>
    <row r="3017" spans="1:2" s="24" customFormat="1" x14ac:dyDescent="0.3">
      <c r="A3017" s="17"/>
      <c r="B3017" s="17"/>
    </row>
    <row r="3018" spans="1:2" s="24" customFormat="1" x14ac:dyDescent="0.3">
      <c r="A3018" s="17"/>
      <c r="B3018" s="17"/>
    </row>
    <row r="3019" spans="1:2" s="24" customFormat="1" x14ac:dyDescent="0.3">
      <c r="A3019" s="17"/>
      <c r="B3019" s="17"/>
    </row>
    <row r="3020" spans="1:2" s="24" customFormat="1" x14ac:dyDescent="0.3">
      <c r="A3020" s="17"/>
      <c r="B3020" s="17"/>
    </row>
    <row r="3021" spans="1:2" s="24" customFormat="1" x14ac:dyDescent="0.3">
      <c r="A3021" s="17"/>
      <c r="B3021" s="17"/>
    </row>
    <row r="3022" spans="1:2" s="24" customFormat="1" x14ac:dyDescent="0.3">
      <c r="A3022" s="17"/>
      <c r="B3022" s="17"/>
    </row>
    <row r="3023" spans="1:2" s="24" customFormat="1" x14ac:dyDescent="0.3">
      <c r="A3023" s="17"/>
      <c r="B3023" s="17"/>
    </row>
    <row r="3024" spans="1:2" s="24" customFormat="1" x14ac:dyDescent="0.3">
      <c r="A3024" s="17"/>
      <c r="B3024" s="17"/>
    </row>
    <row r="3025" spans="1:2" s="24" customFormat="1" x14ac:dyDescent="0.3">
      <c r="A3025" s="17"/>
      <c r="B3025" s="17"/>
    </row>
    <row r="3026" spans="1:2" s="24" customFormat="1" x14ac:dyDescent="0.3">
      <c r="A3026" s="17"/>
      <c r="B3026" s="17"/>
    </row>
    <row r="3027" spans="1:2" s="24" customFormat="1" x14ac:dyDescent="0.3">
      <c r="A3027" s="17"/>
      <c r="B3027" s="17"/>
    </row>
    <row r="3028" spans="1:2" s="24" customFormat="1" x14ac:dyDescent="0.3">
      <c r="A3028" s="17"/>
      <c r="B3028" s="17"/>
    </row>
    <row r="3029" spans="1:2" s="24" customFormat="1" x14ac:dyDescent="0.3">
      <c r="A3029" s="17"/>
      <c r="B3029" s="17"/>
    </row>
    <row r="3030" spans="1:2" s="24" customFormat="1" x14ac:dyDescent="0.3">
      <c r="A3030" s="17"/>
      <c r="B3030" s="17"/>
    </row>
    <row r="3031" spans="1:2" s="24" customFormat="1" x14ac:dyDescent="0.3">
      <c r="A3031" s="17"/>
      <c r="B3031" s="17"/>
    </row>
    <row r="3032" spans="1:2" s="24" customFormat="1" x14ac:dyDescent="0.3">
      <c r="A3032" s="17"/>
      <c r="B3032" s="17"/>
    </row>
    <row r="3033" spans="1:2" s="24" customFormat="1" x14ac:dyDescent="0.3">
      <c r="A3033" s="17"/>
      <c r="B3033" s="17"/>
    </row>
    <row r="3034" spans="1:2" s="24" customFormat="1" x14ac:dyDescent="0.3">
      <c r="A3034" s="17"/>
      <c r="B3034" s="17"/>
    </row>
    <row r="3035" spans="1:2" s="24" customFormat="1" x14ac:dyDescent="0.3">
      <c r="A3035" s="17"/>
      <c r="B3035" s="17"/>
    </row>
    <row r="3036" spans="1:2" s="24" customFormat="1" x14ac:dyDescent="0.3">
      <c r="A3036" s="17"/>
      <c r="B3036" s="17"/>
    </row>
    <row r="3037" spans="1:2" s="24" customFormat="1" x14ac:dyDescent="0.3">
      <c r="A3037" s="17"/>
      <c r="B3037" s="17"/>
    </row>
    <row r="3038" spans="1:2" s="24" customFormat="1" x14ac:dyDescent="0.3">
      <c r="A3038" s="17"/>
      <c r="B3038" s="17"/>
    </row>
    <row r="3039" spans="1:2" s="24" customFormat="1" x14ac:dyDescent="0.3">
      <c r="A3039" s="17"/>
      <c r="B3039" s="17"/>
    </row>
    <row r="3040" spans="1:2" s="24" customFormat="1" x14ac:dyDescent="0.3">
      <c r="A3040" s="17"/>
      <c r="B3040" s="17"/>
    </row>
    <row r="3041" spans="1:2" s="24" customFormat="1" x14ac:dyDescent="0.3">
      <c r="A3041" s="17"/>
      <c r="B3041" s="17"/>
    </row>
    <row r="3042" spans="1:2" s="24" customFormat="1" x14ac:dyDescent="0.3">
      <c r="A3042" s="17"/>
      <c r="B3042" s="17"/>
    </row>
    <row r="3043" spans="1:2" s="24" customFormat="1" x14ac:dyDescent="0.3">
      <c r="A3043" s="17"/>
      <c r="B3043" s="17"/>
    </row>
    <row r="3044" spans="1:2" s="24" customFormat="1" x14ac:dyDescent="0.3">
      <c r="A3044" s="17"/>
      <c r="B3044" s="17"/>
    </row>
    <row r="3045" spans="1:2" s="24" customFormat="1" x14ac:dyDescent="0.3">
      <c r="A3045" s="17"/>
      <c r="B3045" s="17"/>
    </row>
    <row r="3046" spans="1:2" s="24" customFormat="1" x14ac:dyDescent="0.3">
      <c r="A3046" s="17"/>
      <c r="B3046" s="17"/>
    </row>
    <row r="3047" spans="1:2" s="24" customFormat="1" x14ac:dyDescent="0.3">
      <c r="A3047" s="17"/>
      <c r="B3047" s="17"/>
    </row>
    <row r="3048" spans="1:2" s="24" customFormat="1" x14ac:dyDescent="0.3">
      <c r="A3048" s="17"/>
      <c r="B3048" s="17"/>
    </row>
    <row r="3049" spans="1:2" s="24" customFormat="1" x14ac:dyDescent="0.3">
      <c r="A3049" s="17"/>
      <c r="B3049" s="17"/>
    </row>
    <row r="3050" spans="1:2" s="24" customFormat="1" x14ac:dyDescent="0.3">
      <c r="A3050" s="17"/>
      <c r="B3050" s="17"/>
    </row>
    <row r="3051" spans="1:2" s="24" customFormat="1" x14ac:dyDescent="0.3">
      <c r="A3051" s="17"/>
      <c r="B3051" s="17"/>
    </row>
    <row r="3052" spans="1:2" s="24" customFormat="1" x14ac:dyDescent="0.3">
      <c r="A3052" s="17"/>
      <c r="B3052" s="17"/>
    </row>
    <row r="3053" spans="1:2" s="24" customFormat="1" x14ac:dyDescent="0.3">
      <c r="A3053" s="17"/>
      <c r="B3053" s="17"/>
    </row>
    <row r="3054" spans="1:2" s="24" customFormat="1" x14ac:dyDescent="0.3">
      <c r="A3054" s="17"/>
      <c r="B3054" s="17"/>
    </row>
    <row r="3055" spans="1:2" s="24" customFormat="1" x14ac:dyDescent="0.3">
      <c r="A3055" s="17"/>
      <c r="B3055" s="17"/>
    </row>
    <row r="3056" spans="1:2" s="24" customFormat="1" x14ac:dyDescent="0.3">
      <c r="A3056" s="17"/>
      <c r="B3056" s="17"/>
    </row>
    <row r="3057" spans="1:1" s="24" customFormat="1" x14ac:dyDescent="0.3">
      <c r="A3057" s="17"/>
    </row>
    <row r="3058" spans="1:1" s="24" customFormat="1" x14ac:dyDescent="0.3">
      <c r="A3058" s="17"/>
    </row>
    <row r="3059" spans="1:1" s="24" customFormat="1" x14ac:dyDescent="0.3">
      <c r="A3059" s="17"/>
    </row>
    <row r="3060" spans="1:1" s="24" customFormat="1" x14ac:dyDescent="0.3">
      <c r="A3060" s="17"/>
    </row>
    <row r="3061" spans="1:1" s="24" customFormat="1" x14ac:dyDescent="0.3">
      <c r="A3061" s="17"/>
    </row>
    <row r="3062" spans="1:1" s="24" customFormat="1" x14ac:dyDescent="0.3">
      <c r="A3062" s="17"/>
    </row>
    <row r="3063" spans="1:1" s="24" customFormat="1" x14ac:dyDescent="0.3">
      <c r="A3063" s="17"/>
    </row>
    <row r="3064" spans="1:1" s="24" customFormat="1" x14ac:dyDescent="0.3">
      <c r="A3064" s="17"/>
    </row>
    <row r="3065" spans="1:1" s="24" customFormat="1" x14ac:dyDescent="0.3">
      <c r="A3065" s="17"/>
    </row>
    <row r="3066" spans="1:1" s="24" customFormat="1" x14ac:dyDescent="0.3">
      <c r="A3066" s="17"/>
    </row>
    <row r="3067" spans="1:1" s="24" customFormat="1" x14ac:dyDescent="0.3">
      <c r="A3067" s="17"/>
    </row>
    <row r="3068" spans="1:1" s="24" customFormat="1" x14ac:dyDescent="0.3">
      <c r="A3068" s="17"/>
    </row>
    <row r="3069" spans="1:1" s="24" customFormat="1" x14ac:dyDescent="0.3">
      <c r="A3069" s="17"/>
    </row>
    <row r="3070" spans="1:1" s="24" customFormat="1" x14ac:dyDescent="0.3">
      <c r="A3070" s="17"/>
    </row>
    <row r="3071" spans="1:1" s="24" customFormat="1" x14ac:dyDescent="0.3">
      <c r="A3071" s="17"/>
    </row>
    <row r="3072" spans="1:1" s="24" customFormat="1" x14ac:dyDescent="0.3">
      <c r="A3072" s="17"/>
    </row>
    <row r="3073" spans="1:1" s="24" customFormat="1" x14ac:dyDescent="0.3">
      <c r="A3073" s="17"/>
    </row>
    <row r="3074" spans="1:1" s="24" customFormat="1" x14ac:dyDescent="0.3">
      <c r="A3074" s="17"/>
    </row>
    <row r="3075" spans="1:1" s="24" customFormat="1" x14ac:dyDescent="0.3">
      <c r="A3075" s="17"/>
    </row>
    <row r="3076" spans="1:1" s="24" customFormat="1" x14ac:dyDescent="0.3">
      <c r="A3076" s="17"/>
    </row>
    <row r="3077" spans="1:1" s="24" customFormat="1" x14ac:dyDescent="0.3">
      <c r="A3077" s="17"/>
    </row>
    <row r="3078" spans="1:1" s="24" customFormat="1" x14ac:dyDescent="0.3">
      <c r="A3078" s="17"/>
    </row>
    <row r="3079" spans="1:1" s="24" customFormat="1" x14ac:dyDescent="0.3">
      <c r="A3079" s="17"/>
    </row>
    <row r="3080" spans="1:1" s="24" customFormat="1" x14ac:dyDescent="0.3">
      <c r="A3080" s="17"/>
    </row>
    <row r="3081" spans="1:1" s="24" customFormat="1" x14ac:dyDescent="0.3">
      <c r="A3081" s="17"/>
    </row>
    <row r="3082" spans="1:1" s="24" customFormat="1" x14ac:dyDescent="0.3">
      <c r="A3082" s="17"/>
    </row>
    <row r="3083" spans="1:1" s="24" customFormat="1" x14ac:dyDescent="0.3">
      <c r="A3083" s="17"/>
    </row>
    <row r="3084" spans="1:1" s="24" customFormat="1" x14ac:dyDescent="0.3">
      <c r="A3084" s="17"/>
    </row>
    <row r="3085" spans="1:1" s="24" customFormat="1" x14ac:dyDescent="0.3">
      <c r="A3085" s="17"/>
    </row>
    <row r="3086" spans="1:1" s="24" customFormat="1" x14ac:dyDescent="0.3">
      <c r="A3086" s="17"/>
    </row>
    <row r="3087" spans="1:1" s="24" customFormat="1" x14ac:dyDescent="0.3">
      <c r="A3087" s="17"/>
    </row>
    <row r="3088" spans="1:1" s="24" customFormat="1" x14ac:dyDescent="0.3">
      <c r="A3088" s="17"/>
    </row>
    <row r="3089" spans="1:42" s="24" customFormat="1" x14ac:dyDescent="0.3">
      <c r="A3089" s="17"/>
    </row>
    <row r="3090" spans="1:42" s="24" customFormat="1" x14ac:dyDescent="0.3">
      <c r="A3090" s="17"/>
    </row>
    <row r="3091" spans="1:42" s="24" customFormat="1" x14ac:dyDescent="0.3">
      <c r="A3091" s="17"/>
    </row>
    <row r="3092" spans="1:42" s="24" customFormat="1" x14ac:dyDescent="0.3">
      <c r="A3092" s="17"/>
    </row>
    <row r="3093" spans="1:42" s="24" customFormat="1" x14ac:dyDescent="0.3">
      <c r="A3093" s="17"/>
    </row>
    <row r="3094" spans="1:42" s="24" customFormat="1" x14ac:dyDescent="0.3">
      <c r="A3094" s="17"/>
    </row>
    <row r="3095" spans="1:42" s="24" customFormat="1" x14ac:dyDescent="0.3">
      <c r="A3095" s="17"/>
    </row>
    <row r="3096" spans="1:42" s="24" customFormat="1" x14ac:dyDescent="0.3">
      <c r="A3096" s="17"/>
    </row>
    <row r="3097" spans="1:42" s="24" customFormat="1" x14ac:dyDescent="0.3">
      <c r="A3097" s="17"/>
    </row>
    <row r="3098" spans="1:42" s="24" customFormat="1" x14ac:dyDescent="0.3">
      <c r="A3098" s="17"/>
    </row>
    <row r="3099" spans="1:42" s="24" customFormat="1" x14ac:dyDescent="0.3">
      <c r="A3099" s="17"/>
    </row>
    <row r="3100" spans="1:42" s="24" customFormat="1" x14ac:dyDescent="0.3">
      <c r="A3100" s="26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</row>
    <row r="3101" spans="1:42" s="24" customFormat="1" x14ac:dyDescent="0.3">
      <c r="A3101" s="26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</row>
    <row r="3102" spans="1:42" s="24" customFormat="1" x14ac:dyDescent="0.3">
      <c r="A3102" s="26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</row>
    <row r="3103" spans="1:42" s="24" customFormat="1" x14ac:dyDescent="0.3">
      <c r="A3103" s="26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</row>
    <row r="3104" spans="1:42" s="24" customFormat="1" x14ac:dyDescent="0.3">
      <c r="A3104" s="26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</row>
    <row r="3105" spans="1:42" s="24" customFormat="1" x14ac:dyDescent="0.3">
      <c r="A3105" s="26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</row>
    <row r="3106" spans="1:42" s="24" customFormat="1" x14ac:dyDescent="0.3">
      <c r="A3106" s="2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</row>
    <row r="3107" spans="1:42" s="24" customFormat="1" x14ac:dyDescent="0.3">
      <c r="A3107" s="26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</row>
    <row r="3108" spans="1:42" s="24" customFormat="1" x14ac:dyDescent="0.3">
      <c r="A3108" s="26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</row>
    <row r="3109" spans="1:42" s="24" customFormat="1" x14ac:dyDescent="0.3">
      <c r="A3109" s="26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</row>
    <row r="3110" spans="1:42" s="24" customFormat="1" x14ac:dyDescent="0.3">
      <c r="A3110" s="26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</row>
    <row r="3111" spans="1:42" s="24" customFormat="1" x14ac:dyDescent="0.3">
      <c r="A3111" s="26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</row>
    <row r="3112" spans="1:42" s="24" customFormat="1" x14ac:dyDescent="0.3">
      <c r="A3112" s="26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</row>
    <row r="3113" spans="1:42" s="24" customFormat="1" x14ac:dyDescent="0.3">
      <c r="A3113" s="26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</row>
    <row r="3114" spans="1:42" s="24" customFormat="1" x14ac:dyDescent="0.3">
      <c r="A3114" s="26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</row>
    <row r="3115" spans="1:42" s="24" customFormat="1" x14ac:dyDescent="0.3">
      <c r="A3115" s="26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</row>
    <row r="3116" spans="1:42" s="24" customFormat="1" x14ac:dyDescent="0.3">
      <c r="A3116" s="2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</row>
    <row r="3117" spans="1:42" s="24" customFormat="1" x14ac:dyDescent="0.3">
      <c r="A3117" s="26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</row>
    <row r="3118" spans="1:42" s="24" customFormat="1" x14ac:dyDescent="0.3">
      <c r="A3118" s="26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</row>
    <row r="3119" spans="1:42" s="24" customFormat="1" x14ac:dyDescent="0.3">
      <c r="A3119" s="26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</row>
    <row r="3120" spans="1:42" s="24" customFormat="1" x14ac:dyDescent="0.3">
      <c r="A3120" s="26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</row>
    <row r="3121" spans="1:42" s="24" customFormat="1" x14ac:dyDescent="0.3">
      <c r="A3121" s="26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</row>
    <row r="3122" spans="1:42" s="24" customFormat="1" x14ac:dyDescent="0.3">
      <c r="A3122" s="26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</row>
    <row r="3123" spans="1:42" s="24" customFormat="1" x14ac:dyDescent="0.3">
      <c r="A3123" s="26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</row>
    <row r="3124" spans="1:42" s="24" customFormat="1" x14ac:dyDescent="0.3">
      <c r="A3124" s="26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</row>
    <row r="3125" spans="1:42" s="24" customFormat="1" x14ac:dyDescent="0.3">
      <c r="A3125" s="26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</row>
    <row r="3126" spans="1:42" s="24" customFormat="1" x14ac:dyDescent="0.3">
      <c r="A3126" s="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</row>
    <row r="3127" spans="1:42" s="24" customFormat="1" x14ac:dyDescent="0.3">
      <c r="A3127" s="26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</row>
    <row r="3128" spans="1:42" s="24" customFormat="1" x14ac:dyDescent="0.3">
      <c r="A3128" s="26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</row>
    <row r="3129" spans="1:42" s="24" customFormat="1" x14ac:dyDescent="0.3">
      <c r="A3129" s="26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</row>
    <row r="3130" spans="1:42" s="24" customFormat="1" x14ac:dyDescent="0.3">
      <c r="A3130" s="26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</row>
    <row r="3131" spans="1:42" s="24" customFormat="1" x14ac:dyDescent="0.3">
      <c r="A3131" s="26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</row>
    <row r="3132" spans="1:42" s="24" customFormat="1" x14ac:dyDescent="0.3">
      <c r="A3132" s="26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</row>
    <row r="3133" spans="1:42" s="24" customFormat="1" x14ac:dyDescent="0.3">
      <c r="A3133" s="26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</row>
    <row r="3134" spans="1:42" s="24" customFormat="1" x14ac:dyDescent="0.3">
      <c r="A3134" s="26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</row>
    <row r="3135" spans="1:42" s="24" customFormat="1" x14ac:dyDescent="0.3">
      <c r="A3135" s="26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</row>
    <row r="3136" spans="1:42" s="24" customFormat="1" x14ac:dyDescent="0.3">
      <c r="A3136" s="2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</row>
    <row r="3137" spans="1:42" s="24" customFormat="1" x14ac:dyDescent="0.3">
      <c r="A3137" s="26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</row>
    <row r="3138" spans="1:42" s="24" customFormat="1" x14ac:dyDescent="0.3">
      <c r="A3138" s="26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</row>
    <row r="3139" spans="1:42" s="24" customFormat="1" x14ac:dyDescent="0.3">
      <c r="A3139" s="26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</row>
    <row r="3140" spans="1:42" s="24" customFormat="1" x14ac:dyDescent="0.3">
      <c r="A3140" s="26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</row>
    <row r="3141" spans="1:42" s="24" customFormat="1" x14ac:dyDescent="0.3">
      <c r="A3141" s="26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</row>
    <row r="3142" spans="1:42" s="24" customFormat="1" x14ac:dyDescent="0.3">
      <c r="A3142" s="26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</row>
    <row r="3143" spans="1:42" s="24" customFormat="1" x14ac:dyDescent="0.3">
      <c r="A3143" s="26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</row>
    <row r="3144" spans="1:42" s="24" customFormat="1" x14ac:dyDescent="0.3">
      <c r="A3144" s="26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</row>
    <row r="3145" spans="1:42" s="24" customFormat="1" x14ac:dyDescent="0.3">
      <c r="A3145" s="26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</row>
    <row r="3146" spans="1:42" s="24" customFormat="1" x14ac:dyDescent="0.3">
      <c r="A3146" s="2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</row>
    <row r="3147" spans="1:42" s="24" customFormat="1" x14ac:dyDescent="0.3">
      <c r="A3147" s="26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</row>
    <row r="3148" spans="1:42" s="24" customFormat="1" x14ac:dyDescent="0.3">
      <c r="A3148" s="26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</row>
    <row r="3149" spans="1:42" s="24" customFormat="1" x14ac:dyDescent="0.3">
      <c r="A3149" s="26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</row>
    <row r="3150" spans="1:42" s="24" customFormat="1" x14ac:dyDescent="0.3">
      <c r="A3150" s="26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</row>
    <row r="3151" spans="1:42" s="24" customFormat="1" x14ac:dyDescent="0.3">
      <c r="A3151" s="26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</row>
    <row r="3152" spans="1:42" s="24" customFormat="1" x14ac:dyDescent="0.3">
      <c r="A3152" s="26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</row>
    <row r="3153" spans="1:42" s="24" customFormat="1" x14ac:dyDescent="0.3">
      <c r="A3153" s="26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</row>
    <row r="3154" spans="1:42" s="24" customFormat="1" x14ac:dyDescent="0.3">
      <c r="A3154" s="26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</row>
    <row r="3155" spans="1:42" s="24" customFormat="1" x14ac:dyDescent="0.3">
      <c r="A3155" s="26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</row>
    <row r="3156" spans="1:42" s="24" customFormat="1" x14ac:dyDescent="0.3">
      <c r="A3156" s="2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</row>
    <row r="3157" spans="1:42" s="24" customFormat="1" x14ac:dyDescent="0.3">
      <c r="A3157" s="26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</row>
    <row r="3158" spans="1:42" s="24" customFormat="1" x14ac:dyDescent="0.3">
      <c r="A3158" s="26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</row>
    <row r="3159" spans="1:42" s="24" customFormat="1" x14ac:dyDescent="0.3">
      <c r="A3159" s="26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</row>
    <row r="3160" spans="1:42" s="24" customFormat="1" x14ac:dyDescent="0.3">
      <c r="A3160" s="26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</row>
    <row r="3161" spans="1:42" s="24" customFormat="1" x14ac:dyDescent="0.3">
      <c r="A3161" s="26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</row>
    <row r="3162" spans="1:42" s="24" customFormat="1" x14ac:dyDescent="0.3">
      <c r="A3162" s="26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</row>
    <row r="3163" spans="1:42" s="24" customFormat="1" x14ac:dyDescent="0.3">
      <c r="A3163" s="26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</row>
    <row r="3164" spans="1:42" s="24" customFormat="1" x14ac:dyDescent="0.3">
      <c r="A3164" s="26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</row>
    <row r="3165" spans="1:42" s="24" customFormat="1" x14ac:dyDescent="0.3">
      <c r="A3165" s="26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</row>
    <row r="3166" spans="1:42" s="24" customFormat="1" x14ac:dyDescent="0.3">
      <c r="A3166" s="2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</row>
    <row r="3167" spans="1:42" s="24" customFormat="1" x14ac:dyDescent="0.3">
      <c r="A3167" s="26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</row>
    <row r="3168" spans="1:42" s="24" customFormat="1" x14ac:dyDescent="0.3">
      <c r="A3168" s="26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</row>
    <row r="3169" spans="1:42" s="24" customFormat="1" x14ac:dyDescent="0.3">
      <c r="A3169" s="26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</row>
    <row r="3170" spans="1:42" s="24" customFormat="1" x14ac:dyDescent="0.3">
      <c r="A3170" s="26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</row>
    <row r="3171" spans="1:42" s="24" customFormat="1" x14ac:dyDescent="0.3">
      <c r="A3171" s="26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</row>
    <row r="3172" spans="1:42" s="24" customFormat="1" x14ac:dyDescent="0.3">
      <c r="A3172" s="26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</row>
    <row r="3173" spans="1:42" s="24" customFormat="1" x14ac:dyDescent="0.3">
      <c r="A3173" s="26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</row>
    <row r="3174" spans="1:42" s="24" customFormat="1" x14ac:dyDescent="0.3">
      <c r="A3174" s="26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</row>
    <row r="3175" spans="1:42" s="24" customFormat="1" x14ac:dyDescent="0.3">
      <c r="A3175" s="26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</row>
    <row r="3176" spans="1:42" s="24" customFormat="1" x14ac:dyDescent="0.3">
      <c r="A3176" s="2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</row>
    <row r="3177" spans="1:42" s="24" customFormat="1" x14ac:dyDescent="0.3">
      <c r="A3177" s="26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</row>
    <row r="3178" spans="1:42" s="24" customFormat="1" x14ac:dyDescent="0.3">
      <c r="A3178" s="26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</row>
    <row r="3179" spans="1:42" s="24" customFormat="1" x14ac:dyDescent="0.3">
      <c r="A3179" s="26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</row>
    <row r="3180" spans="1:42" s="24" customFormat="1" x14ac:dyDescent="0.3">
      <c r="A3180" s="26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</row>
    <row r="3181" spans="1:42" s="24" customFormat="1" x14ac:dyDescent="0.3">
      <c r="A3181" s="26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</row>
    <row r="3182" spans="1:42" s="24" customFormat="1" x14ac:dyDescent="0.3">
      <c r="A3182" s="26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</row>
    <row r="3183" spans="1:42" s="24" customFormat="1" x14ac:dyDescent="0.3">
      <c r="A3183" s="26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</row>
    <row r="3184" spans="1:42" s="24" customFormat="1" x14ac:dyDescent="0.3">
      <c r="A3184" s="26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</row>
    <row r="3185" spans="1:42" s="24" customFormat="1" x14ac:dyDescent="0.3">
      <c r="A3185" s="26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</row>
    <row r="3186" spans="1:42" s="24" customFormat="1" x14ac:dyDescent="0.3">
      <c r="A3186" s="2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</row>
    <row r="3187" spans="1:42" s="24" customFormat="1" x14ac:dyDescent="0.3">
      <c r="A3187" s="26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</row>
    <row r="3188" spans="1:42" s="24" customFormat="1" x14ac:dyDescent="0.3">
      <c r="A3188" s="26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</row>
    <row r="3189" spans="1:42" s="24" customFormat="1" x14ac:dyDescent="0.3">
      <c r="A3189" s="26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</row>
    <row r="3190" spans="1:42" s="24" customFormat="1" x14ac:dyDescent="0.3">
      <c r="A3190" s="26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</row>
    <row r="3191" spans="1:42" s="24" customFormat="1" x14ac:dyDescent="0.3">
      <c r="A3191" s="26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</row>
    <row r="3192" spans="1:42" s="24" customFormat="1" x14ac:dyDescent="0.3">
      <c r="A3192" s="26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</row>
    <row r="3193" spans="1:42" s="24" customFormat="1" x14ac:dyDescent="0.3">
      <c r="A3193" s="26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</row>
    <row r="3194" spans="1:42" s="24" customFormat="1" x14ac:dyDescent="0.3">
      <c r="A3194" s="26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</row>
    <row r="3195" spans="1:42" s="24" customFormat="1" x14ac:dyDescent="0.3">
      <c r="A3195" s="26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</row>
    <row r="3196" spans="1:42" s="24" customFormat="1" x14ac:dyDescent="0.3">
      <c r="A3196" s="2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</row>
    <row r="3197" spans="1:42" s="24" customFormat="1" x14ac:dyDescent="0.3">
      <c r="A3197" s="26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</row>
    <row r="3198" spans="1:42" s="24" customFormat="1" x14ac:dyDescent="0.3">
      <c r="A3198" s="26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</row>
    <row r="3199" spans="1:42" s="24" customFormat="1" x14ac:dyDescent="0.3">
      <c r="A3199" s="26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</row>
    <row r="3200" spans="1:42" s="24" customFormat="1" x14ac:dyDescent="0.3">
      <c r="A3200" s="26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</row>
    <row r="3201" spans="1:42" s="24" customFormat="1" x14ac:dyDescent="0.3">
      <c r="A3201" s="26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</row>
    <row r="3202" spans="1:42" s="24" customFormat="1" x14ac:dyDescent="0.3">
      <c r="A3202" s="26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</row>
    <row r="3203" spans="1:42" s="24" customFormat="1" x14ac:dyDescent="0.3">
      <c r="A3203" s="26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</row>
    <row r="3204" spans="1:42" s="24" customFormat="1" x14ac:dyDescent="0.3">
      <c r="A3204" s="26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</row>
    <row r="3205" spans="1:42" s="24" customFormat="1" x14ac:dyDescent="0.3">
      <c r="A3205" s="26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</row>
    <row r="3206" spans="1:42" s="24" customFormat="1" x14ac:dyDescent="0.3">
      <c r="A3206" s="2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</row>
    <row r="3207" spans="1:42" s="24" customFormat="1" x14ac:dyDescent="0.3">
      <c r="A3207" s="26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</row>
    <row r="3208" spans="1:42" s="24" customFormat="1" x14ac:dyDescent="0.3">
      <c r="A3208" s="26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</row>
    <row r="3209" spans="1:42" s="24" customFormat="1" x14ac:dyDescent="0.3">
      <c r="A3209" s="26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</row>
    <row r="3210" spans="1:42" s="24" customFormat="1" x14ac:dyDescent="0.3">
      <c r="A3210" s="26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</row>
    <row r="3211" spans="1:42" s="24" customFormat="1" x14ac:dyDescent="0.3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</row>
    <row r="3212" spans="1:42" s="24" customFormat="1" x14ac:dyDescent="0.3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</row>
    <row r="3213" spans="1:42" s="24" customFormat="1" x14ac:dyDescent="0.3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</row>
    <row r="3214" spans="1:42" s="24" customFormat="1" x14ac:dyDescent="0.3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</row>
    <row r="3215" spans="1:42" s="24" customFormat="1" x14ac:dyDescent="0.3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</row>
    <row r="3216" spans="1:42" s="24" customFormat="1" x14ac:dyDescent="0.3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</row>
    <row r="3217" spans="1:42" s="24" customFormat="1" x14ac:dyDescent="0.3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</row>
    <row r="3218" spans="1:42" s="24" customFormat="1" x14ac:dyDescent="0.3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</row>
    <row r="3219" spans="1:42" s="24" customFormat="1" x14ac:dyDescent="0.3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</row>
    <row r="3220" spans="1:42" s="24" customFormat="1" x14ac:dyDescent="0.3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</row>
    <row r="3221" spans="1:42" s="24" customFormat="1" x14ac:dyDescent="0.3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</row>
    <row r="3222" spans="1:42" s="24" customFormat="1" x14ac:dyDescent="0.3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</row>
    <row r="3223" spans="1:42" s="24" customFormat="1" x14ac:dyDescent="0.3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</row>
    <row r="3224" spans="1:42" s="24" customFormat="1" x14ac:dyDescent="0.3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</row>
    <row r="3225" spans="1:42" s="24" customFormat="1" x14ac:dyDescent="0.3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</row>
    <row r="3226" spans="1:42" s="24" customFormat="1" x14ac:dyDescent="0.3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</row>
    <row r="3227" spans="1:42" s="24" customFormat="1" x14ac:dyDescent="0.3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</row>
    <row r="3228" spans="1:42" s="24" customFormat="1" x14ac:dyDescent="0.3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</row>
    <row r="3229" spans="1:42" s="24" customFormat="1" x14ac:dyDescent="0.3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</row>
    <row r="3230" spans="1:42" s="24" customFormat="1" x14ac:dyDescent="0.3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</row>
    <row r="3231" spans="1:42" s="24" customFormat="1" x14ac:dyDescent="0.3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</row>
    <row r="3232" spans="1:42" s="24" customFormat="1" x14ac:dyDescent="0.3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</row>
    <row r="3233" spans="1:42" s="24" customFormat="1" x14ac:dyDescent="0.3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</row>
    <row r="3234" spans="1:42" s="24" customFormat="1" x14ac:dyDescent="0.3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</row>
    <row r="3235" spans="1:42" s="24" customFormat="1" x14ac:dyDescent="0.3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</row>
    <row r="3236" spans="1:42" s="24" customFormat="1" x14ac:dyDescent="0.3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</row>
    <row r="3237" spans="1:42" s="24" customFormat="1" x14ac:dyDescent="0.3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</row>
    <row r="3238" spans="1:42" s="24" customFormat="1" x14ac:dyDescent="0.3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</row>
    <row r="3239" spans="1:42" s="24" customFormat="1" x14ac:dyDescent="0.3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</row>
    <row r="3240" spans="1:42" s="24" customFormat="1" x14ac:dyDescent="0.3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</row>
    <row r="3241" spans="1:42" s="24" customFormat="1" x14ac:dyDescent="0.3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</row>
    <row r="3242" spans="1:42" s="24" customFormat="1" x14ac:dyDescent="0.3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</row>
    <row r="3243" spans="1:42" s="24" customFormat="1" x14ac:dyDescent="0.3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</row>
    <row r="3244" spans="1:42" s="24" customFormat="1" x14ac:dyDescent="0.3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</row>
    <row r="3245" spans="1:42" s="24" customFormat="1" x14ac:dyDescent="0.3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</row>
    <row r="3246" spans="1:42" s="24" customFormat="1" x14ac:dyDescent="0.3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</row>
    <row r="3247" spans="1:42" s="24" customFormat="1" x14ac:dyDescent="0.3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</row>
    <row r="3248" spans="1:42" s="24" customFormat="1" x14ac:dyDescent="0.3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</row>
    <row r="3249" spans="1:42" s="24" customFormat="1" x14ac:dyDescent="0.3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</row>
    <row r="3250" spans="1:42" s="24" customFormat="1" x14ac:dyDescent="0.3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</row>
    <row r="3251" spans="1:42" s="24" customFormat="1" x14ac:dyDescent="0.3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</row>
    <row r="3252" spans="1:42" s="24" customFormat="1" x14ac:dyDescent="0.3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</row>
    <row r="3253" spans="1:42" s="24" customFormat="1" x14ac:dyDescent="0.3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</row>
    <row r="3254" spans="1:42" s="24" customFormat="1" x14ac:dyDescent="0.3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</row>
    <row r="3255" spans="1:42" s="24" customFormat="1" x14ac:dyDescent="0.3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</row>
    <row r="3256" spans="1:42" s="24" customFormat="1" x14ac:dyDescent="0.3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</row>
    <row r="3257" spans="1:42" s="24" customFormat="1" x14ac:dyDescent="0.3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</row>
    <row r="3258" spans="1:42" s="24" customFormat="1" x14ac:dyDescent="0.3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</row>
    <row r="3259" spans="1:42" s="24" customFormat="1" x14ac:dyDescent="0.3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</row>
    <row r="3260" spans="1:42" s="24" customFormat="1" x14ac:dyDescent="0.3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</row>
    <row r="3261" spans="1:42" s="24" customFormat="1" x14ac:dyDescent="0.3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</row>
    <row r="3262" spans="1:42" s="24" customFormat="1" x14ac:dyDescent="0.3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</row>
    <row r="3263" spans="1:42" s="24" customFormat="1" x14ac:dyDescent="0.3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</row>
    <row r="3264" spans="1:42" s="24" customFormat="1" x14ac:dyDescent="0.3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</row>
    <row r="3265" spans="1:42" s="24" customFormat="1" x14ac:dyDescent="0.3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</row>
    <row r="3266" spans="1:42" s="24" customFormat="1" x14ac:dyDescent="0.3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</row>
    <row r="3267" spans="1:42" s="24" customFormat="1" x14ac:dyDescent="0.3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</row>
    <row r="3268" spans="1:42" s="24" customFormat="1" x14ac:dyDescent="0.3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</row>
    <row r="3269" spans="1:42" s="24" customFormat="1" x14ac:dyDescent="0.3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</row>
    <row r="3270" spans="1:42" s="24" customFormat="1" x14ac:dyDescent="0.3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</row>
    <row r="3271" spans="1:42" s="24" customFormat="1" x14ac:dyDescent="0.3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</row>
    <row r="3272" spans="1:42" s="24" customFormat="1" x14ac:dyDescent="0.3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</row>
    <row r="3273" spans="1:42" s="24" customFormat="1" x14ac:dyDescent="0.3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</row>
    <row r="3274" spans="1:42" s="24" customFormat="1" x14ac:dyDescent="0.3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</row>
    <row r="3275" spans="1:42" s="24" customFormat="1" x14ac:dyDescent="0.3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</row>
    <row r="3276" spans="1:42" s="24" customFormat="1" x14ac:dyDescent="0.3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</row>
    <row r="3277" spans="1:42" s="24" customFormat="1" x14ac:dyDescent="0.3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</row>
    <row r="3278" spans="1:42" s="24" customFormat="1" x14ac:dyDescent="0.3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</row>
    <row r="3279" spans="1:42" s="24" customFormat="1" x14ac:dyDescent="0.3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</row>
    <row r="3280" spans="1:42" s="24" customFormat="1" x14ac:dyDescent="0.3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</row>
    <row r="3281" spans="1:42" s="24" customFormat="1" x14ac:dyDescent="0.3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</row>
    <row r="3282" spans="1:42" s="24" customFormat="1" x14ac:dyDescent="0.3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</row>
    <row r="3283" spans="1:42" s="24" customFormat="1" x14ac:dyDescent="0.3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</row>
    <row r="3284" spans="1:42" s="24" customFormat="1" x14ac:dyDescent="0.3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</row>
    <row r="3285" spans="1:42" s="24" customFormat="1" x14ac:dyDescent="0.3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</row>
    <row r="3286" spans="1:42" s="24" customFormat="1" x14ac:dyDescent="0.3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</row>
    <row r="3287" spans="1:42" s="24" customFormat="1" x14ac:dyDescent="0.3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</row>
    <row r="3288" spans="1:42" s="24" customFormat="1" x14ac:dyDescent="0.3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</row>
    <row r="3289" spans="1:42" s="24" customFormat="1" x14ac:dyDescent="0.3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</row>
    <row r="3290" spans="1:42" s="24" customFormat="1" x14ac:dyDescent="0.3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</row>
    <row r="3291" spans="1:42" s="24" customFormat="1" x14ac:dyDescent="0.3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</row>
    <row r="3292" spans="1:42" s="24" customFormat="1" x14ac:dyDescent="0.3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</row>
    <row r="3293" spans="1:42" s="24" customFormat="1" x14ac:dyDescent="0.3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</row>
    <row r="3294" spans="1:42" s="24" customFormat="1" x14ac:dyDescent="0.3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</row>
    <row r="3295" spans="1:42" s="24" customFormat="1" x14ac:dyDescent="0.3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</row>
    <row r="3296" spans="1:42" s="24" customFormat="1" x14ac:dyDescent="0.3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</row>
    <row r="3297" spans="1:42" s="24" customFormat="1" x14ac:dyDescent="0.3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</row>
    <row r="3298" spans="1:42" s="24" customFormat="1" x14ac:dyDescent="0.3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</row>
    <row r="3299" spans="1:42" s="24" customFormat="1" x14ac:dyDescent="0.3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</row>
    <row r="3300" spans="1:42" s="24" customFormat="1" x14ac:dyDescent="0.3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</row>
    <row r="3301" spans="1:42" s="24" customFormat="1" x14ac:dyDescent="0.3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</row>
    <row r="3302" spans="1:42" s="24" customFormat="1" x14ac:dyDescent="0.3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</row>
    <row r="3303" spans="1:42" s="24" customFormat="1" x14ac:dyDescent="0.3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</row>
    <row r="3304" spans="1:42" s="24" customFormat="1" x14ac:dyDescent="0.3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</row>
    <row r="3305" spans="1:42" s="24" customFormat="1" x14ac:dyDescent="0.3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</row>
    <row r="3306" spans="1:42" s="24" customFormat="1" x14ac:dyDescent="0.3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</row>
    <row r="3307" spans="1:42" s="24" customFormat="1" x14ac:dyDescent="0.3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</row>
    <row r="3308" spans="1:42" s="24" customFormat="1" x14ac:dyDescent="0.3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</row>
    <row r="3309" spans="1:42" s="24" customFormat="1" x14ac:dyDescent="0.3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</row>
    <row r="3310" spans="1:42" s="24" customFormat="1" x14ac:dyDescent="0.3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</row>
    <row r="3311" spans="1:42" s="24" customFormat="1" x14ac:dyDescent="0.3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</row>
    <row r="3312" spans="1:42" s="24" customFormat="1" x14ac:dyDescent="0.3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</row>
    <row r="3313" spans="1:42" s="24" customFormat="1" x14ac:dyDescent="0.3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</row>
    <row r="3314" spans="1:42" s="24" customFormat="1" x14ac:dyDescent="0.3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</row>
    <row r="3315" spans="1:42" s="24" customFormat="1" x14ac:dyDescent="0.3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</row>
    <row r="3316" spans="1:42" s="24" customFormat="1" x14ac:dyDescent="0.3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</row>
    <row r="3317" spans="1:42" s="24" customFormat="1" x14ac:dyDescent="0.3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</row>
    <row r="3318" spans="1:42" s="24" customFormat="1" x14ac:dyDescent="0.3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</row>
    <row r="3319" spans="1:42" s="24" customFormat="1" x14ac:dyDescent="0.3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</row>
    <row r="3320" spans="1:42" s="24" customFormat="1" x14ac:dyDescent="0.3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</row>
    <row r="3321" spans="1:42" s="24" customFormat="1" x14ac:dyDescent="0.3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</row>
    <row r="3322" spans="1:42" s="24" customFormat="1" x14ac:dyDescent="0.3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</row>
    <row r="3323" spans="1:42" s="24" customFormat="1" x14ac:dyDescent="0.3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</row>
    <row r="3324" spans="1:42" s="24" customFormat="1" x14ac:dyDescent="0.3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</row>
    <row r="3325" spans="1:42" s="24" customFormat="1" x14ac:dyDescent="0.3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</row>
    <row r="3326" spans="1:42" s="24" customFormat="1" x14ac:dyDescent="0.3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</row>
    <row r="3327" spans="1:42" s="24" customFormat="1" x14ac:dyDescent="0.3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</row>
    <row r="3328" spans="1:42" s="24" customFormat="1" x14ac:dyDescent="0.3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</row>
    <row r="3329" spans="1:42" s="24" customFormat="1" x14ac:dyDescent="0.3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</row>
    <row r="3330" spans="1:42" s="24" customFormat="1" x14ac:dyDescent="0.3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</row>
    <row r="3331" spans="1:42" s="24" customFormat="1" x14ac:dyDescent="0.3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</row>
    <row r="3332" spans="1:42" s="24" customFormat="1" x14ac:dyDescent="0.3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</row>
    <row r="3333" spans="1:42" s="24" customFormat="1" x14ac:dyDescent="0.3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</row>
    <row r="3334" spans="1:42" s="24" customFormat="1" x14ac:dyDescent="0.3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</row>
    <row r="3335" spans="1:42" s="24" customFormat="1" x14ac:dyDescent="0.3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</row>
    <row r="3336" spans="1:42" s="24" customFormat="1" x14ac:dyDescent="0.3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</row>
    <row r="3337" spans="1:42" s="24" customFormat="1" x14ac:dyDescent="0.3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</row>
    <row r="3338" spans="1:42" s="24" customFormat="1" x14ac:dyDescent="0.3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</row>
    <row r="3339" spans="1:42" s="24" customFormat="1" x14ac:dyDescent="0.3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</row>
    <row r="3340" spans="1:42" s="24" customFormat="1" x14ac:dyDescent="0.3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</row>
    <row r="3341" spans="1:42" s="24" customFormat="1" x14ac:dyDescent="0.3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</row>
    <row r="3342" spans="1:42" s="24" customFormat="1" x14ac:dyDescent="0.3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</row>
    <row r="3343" spans="1:42" s="24" customFormat="1" x14ac:dyDescent="0.3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</row>
    <row r="3344" spans="1:42" s="24" customFormat="1" x14ac:dyDescent="0.3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</row>
    <row r="3345" spans="1:42" s="24" customFormat="1" x14ac:dyDescent="0.3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</row>
    <row r="3346" spans="1:42" s="24" customFormat="1" x14ac:dyDescent="0.3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</row>
    <row r="3347" spans="1:42" s="24" customFormat="1" x14ac:dyDescent="0.3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</row>
    <row r="3348" spans="1:42" s="24" customFormat="1" x14ac:dyDescent="0.3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</row>
    <row r="3349" spans="1:42" s="24" customFormat="1" x14ac:dyDescent="0.3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</row>
    <row r="3350" spans="1:42" s="24" customFormat="1" x14ac:dyDescent="0.3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</row>
    <row r="3351" spans="1:42" s="24" customFormat="1" x14ac:dyDescent="0.3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</row>
    <row r="3352" spans="1:42" s="24" customFormat="1" x14ac:dyDescent="0.3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</row>
    <row r="3353" spans="1:42" s="24" customFormat="1" x14ac:dyDescent="0.3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</row>
    <row r="3354" spans="1:42" s="24" customFormat="1" x14ac:dyDescent="0.3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</row>
    <row r="3355" spans="1:42" s="24" customFormat="1" x14ac:dyDescent="0.3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</row>
    <row r="3356" spans="1:42" s="24" customFormat="1" x14ac:dyDescent="0.3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</row>
    <row r="3357" spans="1:42" s="24" customFormat="1" x14ac:dyDescent="0.3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</row>
    <row r="3358" spans="1:42" s="24" customFormat="1" x14ac:dyDescent="0.3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</row>
    <row r="3359" spans="1:42" s="24" customFormat="1" x14ac:dyDescent="0.3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</row>
    <row r="3360" spans="1:42" s="24" customFormat="1" x14ac:dyDescent="0.3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</row>
    <row r="3361" spans="1:42" s="24" customFormat="1" x14ac:dyDescent="0.3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</row>
    <row r="3362" spans="1:42" s="24" customFormat="1" x14ac:dyDescent="0.3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</row>
    <row r="3363" spans="1:42" s="24" customFormat="1" x14ac:dyDescent="0.3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</row>
    <row r="3364" spans="1:42" s="24" customFormat="1" x14ac:dyDescent="0.3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</row>
    <row r="3365" spans="1:42" s="24" customFormat="1" x14ac:dyDescent="0.3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</row>
    <row r="3366" spans="1:42" s="24" customFormat="1" x14ac:dyDescent="0.3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</row>
    <row r="3367" spans="1:42" s="24" customFormat="1" x14ac:dyDescent="0.3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</row>
    <row r="3368" spans="1:42" s="24" customFormat="1" x14ac:dyDescent="0.3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</row>
    <row r="3369" spans="1:42" s="24" customFormat="1" x14ac:dyDescent="0.3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</row>
    <row r="3370" spans="1:42" s="24" customFormat="1" x14ac:dyDescent="0.3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</row>
    <row r="3371" spans="1:42" s="24" customFormat="1" x14ac:dyDescent="0.3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</row>
    <row r="3372" spans="1:42" s="24" customFormat="1" x14ac:dyDescent="0.3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</row>
    <row r="3373" spans="1:42" s="24" customFormat="1" x14ac:dyDescent="0.3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</row>
    <row r="3374" spans="1:42" s="24" customFormat="1" x14ac:dyDescent="0.3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</row>
    <row r="3375" spans="1:42" s="24" customFormat="1" x14ac:dyDescent="0.3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</row>
    <row r="3376" spans="1:42" s="24" customFormat="1" x14ac:dyDescent="0.3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</row>
    <row r="3377" spans="1:42" s="24" customFormat="1" x14ac:dyDescent="0.3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</row>
    <row r="3378" spans="1:42" s="24" customFormat="1" x14ac:dyDescent="0.3">
      <c r="A3378" s="26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</row>
    <row r="3379" spans="1:42" s="24" customFormat="1" x14ac:dyDescent="0.3">
      <c r="A3379" s="26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</row>
    <row r="3380" spans="1:42" s="24" customFormat="1" x14ac:dyDescent="0.3">
      <c r="A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</row>
    <row r="3381" spans="1:42" s="24" customFormat="1" x14ac:dyDescent="0.3">
      <c r="A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</row>
    <row r="3382" spans="1:42" s="24" customFormat="1" x14ac:dyDescent="0.3">
      <c r="A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</row>
    <row r="3383" spans="1:42" s="24" customFormat="1" x14ac:dyDescent="0.3">
      <c r="A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</row>
    <row r="3384" spans="1:42" s="24" customFormat="1" x14ac:dyDescent="0.3">
      <c r="A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</row>
    <row r="3385" spans="1:42" s="24" customFormat="1" x14ac:dyDescent="0.3">
      <c r="A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</row>
    <row r="3386" spans="1:42" s="24" customFormat="1" x14ac:dyDescent="0.3">
      <c r="A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</row>
    <row r="3387" spans="1:42" s="24" customFormat="1" x14ac:dyDescent="0.3">
      <c r="A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</row>
    <row r="3388" spans="1:42" s="24" customFormat="1" x14ac:dyDescent="0.3">
      <c r="A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</row>
    <row r="3389" spans="1:42" s="24" customFormat="1" x14ac:dyDescent="0.3">
      <c r="A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</row>
    <row r="3390" spans="1:42" s="24" customFormat="1" x14ac:dyDescent="0.3">
      <c r="A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</row>
    <row r="3391" spans="1:42" s="24" customFormat="1" x14ac:dyDescent="0.3">
      <c r="A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</row>
    <row r="3392" spans="1:42" s="24" customFormat="1" x14ac:dyDescent="0.3">
      <c r="A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</row>
    <row r="3393" spans="1:42" s="24" customFormat="1" x14ac:dyDescent="0.3">
      <c r="A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</row>
    <row r="3394" spans="1:42" s="24" customFormat="1" x14ac:dyDescent="0.3">
      <c r="A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</row>
    <row r="3395" spans="1:42" s="24" customFormat="1" x14ac:dyDescent="0.3">
      <c r="A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</row>
    <row r="3396" spans="1:42" s="24" customFormat="1" x14ac:dyDescent="0.3">
      <c r="A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</row>
    <row r="3397" spans="1:42" s="24" customFormat="1" x14ac:dyDescent="0.3">
      <c r="A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</row>
    <row r="3398" spans="1:42" s="24" customFormat="1" x14ac:dyDescent="0.3">
      <c r="A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</row>
    <row r="3399" spans="1:42" s="24" customFormat="1" x14ac:dyDescent="0.3">
      <c r="A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</row>
    <row r="3400" spans="1:42" s="24" customFormat="1" x14ac:dyDescent="0.3">
      <c r="A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</row>
    <row r="3401" spans="1:42" s="24" customFormat="1" x14ac:dyDescent="0.3">
      <c r="A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</row>
    <row r="3402" spans="1:42" s="24" customFormat="1" x14ac:dyDescent="0.3">
      <c r="A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</row>
    <row r="3403" spans="1:42" s="24" customFormat="1" x14ac:dyDescent="0.3">
      <c r="A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</row>
    <row r="3404" spans="1:42" s="24" customFormat="1" x14ac:dyDescent="0.3">
      <c r="A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</row>
    <row r="3405" spans="1:42" s="24" customFormat="1" x14ac:dyDescent="0.3">
      <c r="A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</row>
    <row r="3406" spans="1:42" s="24" customFormat="1" x14ac:dyDescent="0.3">
      <c r="A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</row>
    <row r="3407" spans="1:42" s="24" customFormat="1" x14ac:dyDescent="0.3">
      <c r="A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</row>
    <row r="3408" spans="1:42" s="24" customFormat="1" x14ac:dyDescent="0.3">
      <c r="A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</row>
    <row r="3409" spans="1:42" s="24" customFormat="1" x14ac:dyDescent="0.3">
      <c r="A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</row>
    <row r="3410" spans="1:42" s="24" customFormat="1" x14ac:dyDescent="0.3">
      <c r="A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</row>
    <row r="3411" spans="1:42" s="24" customFormat="1" x14ac:dyDescent="0.3">
      <c r="A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</row>
    <row r="3412" spans="1:42" s="24" customFormat="1" x14ac:dyDescent="0.3">
      <c r="A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</row>
    <row r="3413" spans="1:42" s="24" customFormat="1" x14ac:dyDescent="0.3">
      <c r="A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</row>
    <row r="3414" spans="1:42" s="24" customFormat="1" x14ac:dyDescent="0.3">
      <c r="A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</row>
    <row r="3415" spans="1:42" s="24" customFormat="1" x14ac:dyDescent="0.3">
      <c r="A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</row>
    <row r="3416" spans="1:42" s="24" customFormat="1" x14ac:dyDescent="0.3">
      <c r="A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</row>
    <row r="3417" spans="1:42" s="24" customFormat="1" x14ac:dyDescent="0.3">
      <c r="A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</row>
    <row r="3418" spans="1:42" s="24" customFormat="1" x14ac:dyDescent="0.3">
      <c r="A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</row>
    <row r="3419" spans="1:42" s="24" customFormat="1" x14ac:dyDescent="0.3">
      <c r="A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</row>
    <row r="3420" spans="1:42" s="24" customFormat="1" x14ac:dyDescent="0.3">
      <c r="A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</row>
    <row r="3421" spans="1:42" s="24" customFormat="1" x14ac:dyDescent="0.3">
      <c r="A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</row>
    <row r="3422" spans="1:42" s="24" customFormat="1" x14ac:dyDescent="0.3">
      <c r="A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</row>
    <row r="3532" spans="1:1" x14ac:dyDescent="0.3">
      <c r="A3532" s="26"/>
    </row>
    <row r="3533" spans="1:1" x14ac:dyDescent="0.3">
      <c r="A3533" s="26"/>
    </row>
    <row r="3629" ht="12.6" customHeight="1" x14ac:dyDescent="0.3"/>
    <row r="3698" spans="1:1" x14ac:dyDescent="0.3">
      <c r="A3698" s="26"/>
    </row>
    <row r="3699" spans="1:1" x14ac:dyDescent="0.3">
      <c r="A3699" s="26"/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609F4-5138-447D-A738-47D52B3001ED}">
  <sheetPr codeName="Blad8"/>
  <dimension ref="A1:CC9"/>
  <sheetViews>
    <sheetView workbookViewId="0">
      <selection activeCell="D35" sqref="D35"/>
    </sheetView>
  </sheetViews>
  <sheetFormatPr defaultRowHeight="14.4" x14ac:dyDescent="0.3"/>
  <cols>
    <col min="1" max="1" width="21" style="16" bestFit="1" customWidth="1"/>
    <col min="2" max="2" width="31.44140625" bestFit="1" customWidth="1"/>
    <col min="3" max="3" width="4.6640625" style="16" bestFit="1" customWidth="1"/>
    <col min="4" max="4" width="31.44140625" bestFit="1" customWidth="1"/>
    <col min="5" max="5" width="4.6640625" style="16" bestFit="1" customWidth="1"/>
    <col min="6" max="6" width="31.44140625" bestFit="1" customWidth="1"/>
    <col min="7" max="7" width="4.6640625" style="16" bestFit="1" customWidth="1"/>
    <col min="8" max="8" width="31.44140625" bestFit="1" customWidth="1"/>
    <col min="9" max="9" width="4.6640625" style="16" bestFit="1" customWidth="1"/>
    <col min="10" max="10" width="31.44140625" bestFit="1" customWidth="1"/>
    <col min="11" max="11" width="4.6640625" style="16" bestFit="1" customWidth="1"/>
    <col min="12" max="12" width="16.6640625" bestFit="1" customWidth="1"/>
    <col min="13" max="13" width="4.6640625" style="16" bestFit="1" customWidth="1"/>
    <col min="14" max="14" width="12.44140625" bestFit="1" customWidth="1"/>
    <col min="15" max="15" width="4.6640625" style="16" bestFit="1" customWidth="1"/>
    <col min="16" max="16" width="12.44140625" bestFit="1" customWidth="1"/>
    <col min="17" max="17" width="4.6640625" style="16" bestFit="1" customWidth="1"/>
    <col min="18" max="18" width="12.44140625" bestFit="1" customWidth="1"/>
    <col min="19" max="19" width="4.6640625" style="16" bestFit="1" customWidth="1"/>
    <col min="20" max="20" width="12.44140625" bestFit="1" customWidth="1"/>
    <col min="21" max="21" width="4.6640625" style="16" bestFit="1" customWidth="1"/>
    <col min="22" max="22" width="12.44140625" bestFit="1" customWidth="1"/>
    <col min="23" max="23" width="4.6640625" style="16" bestFit="1" customWidth="1"/>
  </cols>
  <sheetData>
    <row r="1" spans="1:81" s="25" customFormat="1" x14ac:dyDescent="0.3">
      <c r="A1" s="49"/>
      <c r="B1" s="74" t="str" cm="1">
        <f t="array" aca="1" ref="B1" ca="1">IF(INDIRECT("'Measurement Details'!B" &amp; COLUMN()/2 + 1)="", "", INDIRECT("'Measurement Details'!B" &amp; COLUMN()/2 + 1))</f>
        <v>vib_table</v>
      </c>
      <c r="C1" s="74"/>
      <c r="D1" s="74" t="str" cm="1">
        <f t="array" aca="1" ref="D1" ca="1">IF(INDIRECT("'Measurement Details'!B" &amp; COLUMN()/2 + 1)="", "", INDIRECT("'Measurement Details'!B" &amp; COLUMN()/2 + 1))</f>
        <v>vib_spindle</v>
      </c>
      <c r="E1" s="74"/>
      <c r="F1" s="74" t="str" cm="1">
        <f t="array" aca="1" ref="F1" ca="1">IF(INDIRECT("'Measurement Details'!B" &amp; COLUMN()/2 + 1)="", "", INDIRECT("'Measurement Details'!B" &amp; COLUMN()/2 + 1))</f>
        <v>smcAC</v>
      </c>
      <c r="G1" s="74"/>
      <c r="H1" s="74" t="str" cm="1">
        <f t="array" aca="1" ref="H1" ca="1">IF(INDIRECT("'Measurement Details'!B" &amp; COLUMN()/2 + 1)="", "", INDIRECT("'Measurement Details'!B" &amp; COLUMN()/2 + 1))</f>
        <v>smcDC</v>
      </c>
      <c r="I1" s="74"/>
      <c r="J1" s="74" t="str" cm="1">
        <f t="array" aca="1" ref="J1" ca="1">IF(INDIRECT("'Measurement Details'!B" &amp; COLUMN()/2 + 1)="", "", INDIRECT("'Measurement Details'!B" &amp; COLUMN()/2 + 1))</f>
        <v>AE_table</v>
      </c>
      <c r="K1" s="74"/>
      <c r="L1" s="74" t="str" cm="1">
        <f t="array" aca="1" ref="L1" ca="1">IF(INDIRECT("'Measurement Details'!B" &amp; COLUMN()/2 + 1)="", "", INDIRECT("'Measurement Details'!B" &amp; COLUMN()/2 + 1))</f>
        <v>AE_spindle</v>
      </c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 t="str" cm="1">
        <f t="array" aca="1" ref="X1" ca="1">IF(INDIRECT("'Measurement Details'!A" &amp; COLUMN()/2 + 1)="", "", INDIRECT("'Measurement Details'!A" &amp; COLUMN()/2 + 1))</f>
        <v/>
      </c>
      <c r="Y1" s="74"/>
      <c r="Z1" s="74" t="str" cm="1">
        <f t="array" aca="1" ref="Z1" ca="1">IF(INDIRECT("'Measurement Details'!A" &amp; COLUMN()/2 + 1)="", "", INDIRECT("'Measurement Details'!A" &amp; COLUMN()/2 + 1))</f>
        <v/>
      </c>
      <c r="AA1" s="74"/>
      <c r="AB1" s="74" t="str" cm="1">
        <f t="array" aca="1" ref="AB1" ca="1">IF(INDIRECT("'Measurement Details'!A" &amp; COLUMN()/2 + 1)="", "", INDIRECT("'Measurement Details'!A" &amp; COLUMN()/2 + 1))</f>
        <v/>
      </c>
      <c r="AC1" s="74"/>
      <c r="AD1" s="74" t="str" cm="1">
        <f t="array" aca="1" ref="AD1" ca="1">IF(INDIRECT("'Measurement Details'!A" &amp; COLUMN()/2 + 1)="", "", INDIRECT("'Measurement Details'!A" &amp; COLUMN()/2 + 1))</f>
        <v/>
      </c>
      <c r="AE1" s="74"/>
      <c r="AF1" s="74" t="str" cm="1">
        <f t="array" aca="1" ref="AF1" ca="1">IF(INDIRECT("'Measurement Details'!A" &amp; COLUMN()/2 + 1)="", "", INDIRECT("'Measurement Details'!A" &amp; COLUMN()/2 + 1))</f>
        <v/>
      </c>
      <c r="AG1" s="74"/>
      <c r="AH1" s="74" t="str" cm="1">
        <f t="array" aca="1" ref="AH1" ca="1">IF(INDIRECT("'Measurement Details'!A" &amp; COLUMN()/2 + 1)="", "", INDIRECT("'Measurement Details'!A" &amp; COLUMN()/2 + 1))</f>
        <v/>
      </c>
      <c r="AI1" s="74"/>
      <c r="AJ1" s="74" t="str" cm="1">
        <f t="array" aca="1" ref="AJ1" ca="1">IF(INDIRECT("'Measurement Details'!A" &amp; COLUMN()/2 + 1)="", "", INDIRECT("'Measurement Details'!A" &amp; COLUMN()/2 + 1))</f>
        <v/>
      </c>
      <c r="AK1" s="74"/>
      <c r="AL1" s="74" t="str" cm="1">
        <f t="array" aca="1" ref="AL1" ca="1">IF(INDIRECT("'Measurement Details'!A" &amp; COLUMN()/2 + 1)="", "", INDIRECT("'Measurement Details'!A" &amp; COLUMN()/2 + 1))</f>
        <v/>
      </c>
      <c r="AM1" s="74"/>
      <c r="AN1" s="74" t="str" cm="1">
        <f t="array" aca="1" ref="AN1" ca="1">IF(INDIRECT("'Measurement Details'!A" &amp; COLUMN()/2 + 1)="", "", INDIRECT("'Measurement Details'!A" &amp; COLUMN()/2 + 1))</f>
        <v/>
      </c>
      <c r="AO1" s="74"/>
      <c r="AP1" s="74" t="str" cm="1">
        <f t="array" aca="1" ref="AP1" ca="1">IF(INDIRECT("'Measurement Details'!A" &amp; COLUMN()/2 + 1)="", "", INDIRECT("'Measurement Details'!A" &amp; COLUMN()/2 + 1))</f>
        <v/>
      </c>
      <c r="AQ1" s="74"/>
      <c r="AR1" s="74" t="str" cm="1">
        <f t="array" aca="1" ref="AR1" ca="1">IF(INDIRECT("'Measurement Details'!A" &amp; COLUMN()/2 + 1)="", "", INDIRECT("'Measurement Details'!A" &amp; COLUMN()/2 + 1))</f>
        <v/>
      </c>
      <c r="AS1" s="74"/>
      <c r="AT1" s="74" t="str" cm="1">
        <f t="array" aca="1" ref="AT1" ca="1">IF(INDIRECT("'Measurement Details'!A" &amp; COLUMN()/2 + 1)="", "", INDIRECT("'Measurement Details'!A" &amp; COLUMN()/2 + 1))</f>
        <v/>
      </c>
      <c r="AU1" s="74"/>
      <c r="AV1" s="74" t="str" cm="1">
        <f t="array" aca="1" ref="AV1" ca="1">IF(INDIRECT("'Measurement Details'!A" &amp; COLUMN()/2 + 1)="", "", INDIRECT("'Measurement Details'!A" &amp; COLUMN()/2 + 1))</f>
        <v/>
      </c>
      <c r="AW1" s="74"/>
      <c r="AX1" s="74" t="str" cm="1">
        <f t="array" aca="1" ref="AX1" ca="1">IF(INDIRECT("'Measurement Details'!A" &amp; COLUMN()/2 + 1)="", "", INDIRECT("'Measurement Details'!A" &amp; COLUMN()/2 + 1))</f>
        <v/>
      </c>
      <c r="AY1" s="74"/>
      <c r="AZ1" s="74" t="str" cm="1">
        <f t="array" aca="1" ref="AZ1" ca="1">IF(INDIRECT("'Measurement Details'!A" &amp; COLUMN()/2 + 1)="", "", INDIRECT("'Measurement Details'!A" &amp; COLUMN()/2 + 1))</f>
        <v/>
      </c>
      <c r="BA1" s="74"/>
      <c r="BB1" s="74" t="str" cm="1">
        <f t="array" aca="1" ref="BB1" ca="1">IF(INDIRECT("'Measurement Details'!A" &amp; COLUMN()/2 + 1)="", "", INDIRECT("'Measurement Details'!A" &amp; COLUMN()/2 + 1))</f>
        <v/>
      </c>
      <c r="BC1" s="74"/>
      <c r="BD1" s="74" t="str" cm="1">
        <f t="array" aca="1" ref="BD1" ca="1">IF(INDIRECT("'Measurement Details'!A" &amp; COLUMN()/2 + 1)="", "", INDIRECT("'Measurement Details'!A" &amp; COLUMN()/2 + 1))</f>
        <v/>
      </c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</row>
    <row r="2" spans="1:81" s="15" customFormat="1" ht="15" thickBot="1" x14ac:dyDescent="0.35">
      <c r="A2" s="19"/>
      <c r="B2" s="15" t="s">
        <v>11</v>
      </c>
      <c r="C2" s="19" t="s">
        <v>5</v>
      </c>
      <c r="D2" s="15" t="s">
        <v>11</v>
      </c>
      <c r="E2" s="19" t="s">
        <v>5</v>
      </c>
      <c r="F2" s="15" t="s">
        <v>11</v>
      </c>
      <c r="G2" s="19" t="s">
        <v>5</v>
      </c>
      <c r="H2" s="15" t="s">
        <v>11</v>
      </c>
      <c r="I2" s="19" t="s">
        <v>5</v>
      </c>
      <c r="J2" s="15" t="s">
        <v>11</v>
      </c>
      <c r="K2" s="19" t="s">
        <v>5</v>
      </c>
      <c r="L2" s="15" t="s">
        <v>11</v>
      </c>
      <c r="M2" s="19" t="s">
        <v>5</v>
      </c>
      <c r="O2" s="19"/>
      <c r="Q2" s="19"/>
      <c r="S2" s="19"/>
      <c r="U2" s="19"/>
      <c r="W2" s="19"/>
    </row>
    <row r="3" spans="1:81" x14ac:dyDescent="0.3">
      <c r="A3" s="16" t="s">
        <v>24</v>
      </c>
      <c r="B3" t="s">
        <v>161</v>
      </c>
      <c r="D3" t="s">
        <v>161</v>
      </c>
      <c r="J3" t="s">
        <v>142</v>
      </c>
      <c r="L3" t="s">
        <v>142</v>
      </c>
    </row>
    <row r="4" spans="1:81" x14ac:dyDescent="0.3">
      <c r="A4" s="16" t="s">
        <v>162</v>
      </c>
      <c r="B4">
        <v>24</v>
      </c>
      <c r="C4" s="16" t="s">
        <v>163</v>
      </c>
      <c r="D4">
        <v>24</v>
      </c>
      <c r="E4" s="16" t="s">
        <v>163</v>
      </c>
      <c r="F4" s="2"/>
      <c r="H4" s="2"/>
      <c r="J4" s="2"/>
    </row>
    <row r="5" spans="1:81" x14ac:dyDescent="0.3">
      <c r="A5" s="16" t="s">
        <v>164</v>
      </c>
      <c r="B5">
        <v>400</v>
      </c>
      <c r="C5" s="16" t="s">
        <v>160</v>
      </c>
      <c r="D5">
        <v>400</v>
      </c>
      <c r="E5" s="16" t="s">
        <v>160</v>
      </c>
      <c r="F5" s="9"/>
      <c r="H5" s="9"/>
      <c r="J5" s="9"/>
    </row>
    <row r="6" spans="1:81" x14ac:dyDescent="0.3">
      <c r="A6" s="16" t="s">
        <v>165</v>
      </c>
      <c r="B6">
        <v>1</v>
      </c>
      <c r="C6" s="16" t="s">
        <v>10</v>
      </c>
      <c r="D6">
        <v>1</v>
      </c>
      <c r="E6" s="16" t="s">
        <v>10</v>
      </c>
      <c r="F6" s="9"/>
      <c r="G6" s="20"/>
      <c r="H6" s="9"/>
      <c r="I6" s="20"/>
      <c r="J6">
        <v>8</v>
      </c>
      <c r="K6" s="16" t="s">
        <v>10</v>
      </c>
      <c r="L6">
        <v>8</v>
      </c>
      <c r="M6" s="16" t="s">
        <v>10</v>
      </c>
    </row>
    <row r="7" spans="1:81" x14ac:dyDescent="0.3">
      <c r="A7" s="16" t="s">
        <v>157</v>
      </c>
      <c r="B7" t="s">
        <v>158</v>
      </c>
      <c r="D7" t="s">
        <v>158</v>
      </c>
      <c r="J7" t="s">
        <v>158</v>
      </c>
      <c r="L7" t="s">
        <v>158</v>
      </c>
    </row>
    <row r="8" spans="1:81" x14ac:dyDescent="0.3">
      <c r="A8" s="16" t="s">
        <v>166</v>
      </c>
      <c r="B8">
        <v>8</v>
      </c>
      <c r="C8" s="16" t="s">
        <v>159</v>
      </c>
      <c r="D8">
        <v>8</v>
      </c>
      <c r="E8" s="16" t="s">
        <v>159</v>
      </c>
      <c r="J8">
        <v>8</v>
      </c>
      <c r="K8" s="16" t="s">
        <v>159</v>
      </c>
      <c r="L8">
        <v>8</v>
      </c>
      <c r="M8" s="16" t="s">
        <v>159</v>
      </c>
    </row>
    <row r="9" spans="1:81" x14ac:dyDescent="0.3">
      <c r="A9" s="16" t="s">
        <v>167</v>
      </c>
      <c r="B9">
        <v>250</v>
      </c>
      <c r="C9" s="16" t="s">
        <v>160</v>
      </c>
      <c r="D9">
        <v>250</v>
      </c>
      <c r="E9" s="16" t="s">
        <v>160</v>
      </c>
      <c r="J9">
        <v>250</v>
      </c>
      <c r="K9" s="16" t="s">
        <v>160</v>
      </c>
      <c r="L9">
        <v>250</v>
      </c>
      <c r="M9" s="16" t="s">
        <v>160</v>
      </c>
    </row>
  </sheetData>
  <mergeCells count="40">
    <mergeCell ref="N1:O1"/>
    <mergeCell ref="P1:Q1"/>
    <mergeCell ref="R1:S1"/>
    <mergeCell ref="T1:U1"/>
    <mergeCell ref="V1:W1"/>
    <mergeCell ref="L1:M1"/>
    <mergeCell ref="B1:C1"/>
    <mergeCell ref="D1:E1"/>
    <mergeCell ref="F1:G1"/>
    <mergeCell ref="H1:I1"/>
    <mergeCell ref="J1:K1"/>
    <mergeCell ref="X1:Y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AV1:AW1"/>
    <mergeCell ref="AX1:AY1"/>
    <mergeCell ref="AZ1:BA1"/>
    <mergeCell ref="BB1:BC1"/>
    <mergeCell ref="BD1:BE1"/>
    <mergeCell ref="BF1:BG1"/>
    <mergeCell ref="BH1:BI1"/>
    <mergeCell ref="BJ1:BK1"/>
    <mergeCell ref="BV1:BW1"/>
    <mergeCell ref="BX1:BY1"/>
    <mergeCell ref="BZ1:CA1"/>
    <mergeCell ref="CB1:CC1"/>
    <mergeCell ref="BL1:BM1"/>
    <mergeCell ref="BN1:BO1"/>
    <mergeCell ref="BP1:BQ1"/>
    <mergeCell ref="BR1:BS1"/>
    <mergeCell ref="BT1:BU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CF05-47C1-4CF8-924B-C3BF2EE13CE8}">
  <sheetPr codeName="Blad9"/>
  <dimension ref="A1:BF704"/>
  <sheetViews>
    <sheetView topLeftCell="C1" zoomScale="60" zoomScaleNormal="60" workbookViewId="0">
      <selection activeCell="I146" sqref="C132:I146"/>
    </sheetView>
  </sheetViews>
  <sheetFormatPr defaultRowHeight="14.4" x14ac:dyDescent="0.3"/>
  <cols>
    <col min="1" max="1" width="13.5546875" bestFit="1" customWidth="1"/>
    <col min="2" max="2" width="52.44140625" customWidth="1"/>
    <col min="3" max="3" width="255.88671875" customWidth="1"/>
    <col min="4" max="4" width="255.77734375" customWidth="1"/>
    <col min="5" max="10" width="52.44140625" bestFit="1" customWidth="1"/>
    <col min="11" max="12" width="53.44140625" bestFit="1" customWidth="1"/>
  </cols>
  <sheetData>
    <row r="1" spans="1:58" s="56" customFormat="1" ht="15" thickBot="1" x14ac:dyDescent="0.35">
      <c r="A1" s="21"/>
      <c r="B1" s="66"/>
      <c r="C1" s="21" t="str" cm="1">
        <f t="array" aca="1" ref="C1" ca="1">IF(INDIRECT("'Measurement Details'!B" &amp; COLUMN()-1)="", "", INDIRECT("'Measurement Details'!B" &amp; COLUMN()-1))</f>
        <v>vib_table</v>
      </c>
      <c r="D1" s="21" t="str" cm="1">
        <f t="array" aca="1" ref="D1" ca="1">IF(INDIRECT("'Measurement Details'!B" &amp; COLUMN()-1)="", "", INDIRECT("'Measurement Details'!B" &amp; COLUMN()-1))</f>
        <v>vib_spindle</v>
      </c>
      <c r="E1" s="21" t="str" cm="1">
        <f t="array" aca="1" ref="E1" ca="1">IF(INDIRECT("'Measurement Details'!B" &amp; COLUMN()-1)="", "", INDIRECT("'Measurement Details'!B" &amp; COLUMN()-1))</f>
        <v>smcAC</v>
      </c>
      <c r="F1" s="21" t="str" cm="1">
        <f t="array" aca="1" ref="F1" ca="1">IF(INDIRECT("'Measurement Details'!B" &amp; COLUMN()-1)="", "", INDIRECT("'Measurement Details'!B" &amp; COLUMN()-1))</f>
        <v>smcDC</v>
      </c>
      <c r="G1" s="21" t="str" cm="1">
        <f t="array" aca="1" ref="G1" ca="1">IF(INDIRECT("'Measurement Details'!B" &amp; COLUMN()-1)="", "", INDIRECT("'Measurement Details'!B" &amp; COLUMN()-1))</f>
        <v>AE_table</v>
      </c>
      <c r="H1" s="21" t="str" cm="1">
        <f t="array" aca="1" ref="H1" ca="1">IF(INDIRECT("'Measurement Details'!B" &amp; COLUMN()-1)="", "", INDIRECT("'Measurement Details'!B" &amp; COLUMN()-1))</f>
        <v>AE_spindle</v>
      </c>
      <c r="I1" s="21"/>
      <c r="J1" s="21"/>
      <c r="K1" s="21"/>
      <c r="L1" s="21"/>
      <c r="M1" s="21" t="str" cm="1">
        <f t="array" aca="1" ref="M1" ca="1">IF(INDIRECT("'Measurement Details'!A" &amp; COLUMN())="", "", INDIRECT("'Measurement Details'!A" &amp; COLUMN()))</f>
        <v/>
      </c>
      <c r="N1" s="21" t="str" cm="1">
        <f t="array" aca="1" ref="N1" ca="1">IF(INDIRECT("'Measurement Details'!A" &amp; COLUMN())="", "", INDIRECT("'Measurement Details'!A" &amp; COLUMN()))</f>
        <v/>
      </c>
      <c r="O1" s="21" t="str" cm="1">
        <f t="array" aca="1" ref="O1" ca="1">IF(INDIRECT("'Measurement Details'!A" &amp; COLUMN())="", "", INDIRECT("'Measurement Details'!A" &amp; COLUMN()))</f>
        <v/>
      </c>
      <c r="P1" s="21" t="str" cm="1">
        <f t="array" aca="1" ref="P1" ca="1">IF(INDIRECT("'Measurement Details'!A" &amp; COLUMN())="", "", INDIRECT("'Measurement Details'!A" &amp; COLUMN()))</f>
        <v/>
      </c>
      <c r="Q1" s="21" t="str" cm="1">
        <f t="array" aca="1" ref="Q1" ca="1">IF(INDIRECT("'Measurement Details'!A" &amp; COLUMN())="", "", INDIRECT("'Measurement Details'!A" &amp; COLUMN()))</f>
        <v/>
      </c>
      <c r="R1" s="21" t="str" cm="1">
        <f t="array" aca="1" ref="R1" ca="1">IF(INDIRECT("'Measurement Details'!A" &amp; COLUMN())="", "", INDIRECT("'Measurement Details'!A" &amp; COLUMN()))</f>
        <v/>
      </c>
      <c r="S1" s="21" t="str" cm="1">
        <f t="array" aca="1" ref="S1" ca="1">IF(INDIRECT("'Measurement Details'!A" &amp; COLUMN())="", "", INDIRECT("'Measurement Details'!A" &amp; COLUMN()))</f>
        <v/>
      </c>
      <c r="T1" s="21" t="str" cm="1">
        <f t="array" aca="1" ref="T1" ca="1">IF(INDIRECT("'Measurement Details'!A" &amp; COLUMN())="", "", INDIRECT("'Measurement Details'!A" &amp; COLUMN()))</f>
        <v/>
      </c>
      <c r="U1" s="21" t="str" cm="1">
        <f t="array" aca="1" ref="U1" ca="1">IF(INDIRECT("'Measurement Details'!A" &amp; COLUMN())="", "", INDIRECT("'Measurement Details'!A" &amp; COLUMN()))</f>
        <v/>
      </c>
      <c r="V1" s="21" t="str" cm="1">
        <f t="array" aca="1" ref="V1" ca="1">IF(INDIRECT("'Measurement Details'!A" &amp; COLUMN())="", "", INDIRECT("'Measurement Details'!A" &amp; COLUMN()))</f>
        <v/>
      </c>
      <c r="W1" s="21" t="str" cm="1">
        <f t="array" aca="1" ref="W1" ca="1">IF(INDIRECT("'Measurement Details'!A" &amp; COLUMN())="", "", INDIRECT("'Measurement Details'!A" &amp; COLUMN()))</f>
        <v/>
      </c>
      <c r="X1" s="21" t="str" cm="1">
        <f t="array" aca="1" ref="X1" ca="1">IF(INDIRECT("'Measurement Details'!A" &amp; COLUMN())="", "", INDIRECT("'Measurement Details'!A" &amp; COLUMN()))</f>
        <v/>
      </c>
      <c r="Y1" s="21" t="str" cm="1">
        <f t="array" aca="1" ref="Y1" ca="1">IF(INDIRECT("'Measurement Details'!A" &amp; COLUMN())="", "", INDIRECT("'Measurement Details'!A" &amp; COLUMN()))</f>
        <v/>
      </c>
      <c r="Z1" s="21" t="str" cm="1">
        <f t="array" aca="1" ref="Z1" ca="1">IF(INDIRECT("'Measurement Details'!A" &amp; COLUMN())="", "", INDIRECT("'Measurement Details'!A" &amp; COLUMN()))</f>
        <v/>
      </c>
      <c r="AA1" s="21" t="str" cm="1">
        <f t="array" aca="1" ref="AA1" ca="1">IF(INDIRECT("'Measurement Details'!A" &amp; COLUMN())="", "", INDIRECT("'Measurement Details'!A" &amp; COLUMN()))</f>
        <v/>
      </c>
      <c r="AB1" s="21" t="str" cm="1">
        <f t="array" aca="1" ref="AB1" ca="1">IF(INDIRECT("'Measurement Details'!A" &amp; COLUMN())="", "", INDIRECT("'Measurement Details'!A" &amp; COLUMN()))</f>
        <v/>
      </c>
      <c r="AC1" s="21" t="str" cm="1">
        <f t="array" aca="1" ref="AC1" ca="1">IF(INDIRECT("'Measurement Details'!A" &amp; COLUMN())="", "", INDIRECT("'Measurement Details'!A" &amp; COLUMN()))</f>
        <v/>
      </c>
      <c r="AD1" s="21" t="str" cm="1">
        <f t="array" aca="1" ref="AD1" ca="1">IF(INDIRECT("'Measurement Details'!A" &amp; COLUMN())="", "", INDIRECT("'Measurement Details'!A" &amp; COLUMN()))</f>
        <v/>
      </c>
      <c r="AE1" s="21" t="str" cm="1">
        <f t="array" aca="1" ref="AE1" ca="1">IF(INDIRECT("'Measurement Details'!A" &amp; COLUMN())="", "", INDIRECT("'Measurement Details'!A" &amp; COLUMN()))</f>
        <v/>
      </c>
      <c r="AF1" s="21" t="str" cm="1">
        <f t="array" aca="1" ref="AF1" ca="1">IF(INDIRECT("'Measurement Details'!A" &amp; COLUMN())="", "", INDIRECT("'Measurement Details'!A" &amp; COLUMN()))</f>
        <v/>
      </c>
      <c r="AG1" s="21" t="str" cm="1">
        <f t="array" aca="1" ref="AG1" ca="1">IF(INDIRECT("'Measurement Details'!A" &amp; COLUMN())="", "", INDIRECT("'Measurement Details'!A" &amp; COLUMN()))</f>
        <v/>
      </c>
      <c r="AH1" s="21" t="str" cm="1">
        <f t="array" aca="1" ref="AH1" ca="1">IF(INDIRECT("'Measurement Details'!A" &amp; COLUMN())="", "", INDIRECT("'Measurement Details'!A" &amp; COLUMN()))</f>
        <v/>
      </c>
      <c r="AI1" s="21" t="str" cm="1">
        <f t="array" aca="1" ref="AI1" ca="1">IF(INDIRECT("'Measurement Details'!A" &amp; COLUMN())="", "", INDIRECT("'Measurement Details'!A" &amp; COLUMN()))</f>
        <v/>
      </c>
      <c r="AJ1" s="21" t="str" cm="1">
        <f t="array" aca="1" ref="AJ1" ca="1">IF(INDIRECT("'Measurement Details'!A" &amp; COLUMN())="", "", INDIRECT("'Measurement Details'!A" &amp; COLUMN()))</f>
        <v/>
      </c>
      <c r="AK1" s="21" t="str" cm="1">
        <f t="array" aca="1" ref="AK1" ca="1">IF(INDIRECT("'Measurement Details'!A" &amp; COLUMN())="", "", INDIRECT("'Measurement Details'!A" &amp; COLUMN()))</f>
        <v/>
      </c>
      <c r="AL1" s="21" t="str" cm="1">
        <f t="array" aca="1" ref="AL1" ca="1">IF(INDIRECT("'Measurement Details'!A" &amp; COLUMN())="", "", INDIRECT("'Measurement Details'!A" &amp; COLUMN()))</f>
        <v/>
      </c>
      <c r="AM1" s="21" t="str" cm="1">
        <f t="array" aca="1" ref="AM1" ca="1">IF(INDIRECT("'Measurement Details'!A" &amp; COLUMN())="", "", INDIRECT("'Measurement Details'!A" &amp; COLUMN()))</f>
        <v/>
      </c>
      <c r="AN1" s="21" t="str" cm="1">
        <f t="array" aca="1" ref="AN1" ca="1">IF(INDIRECT("'Measurement Details'!A" &amp; COLUMN())="", "", INDIRECT("'Measurement Details'!A" &amp; COLUMN()))</f>
        <v/>
      </c>
      <c r="AO1" s="21" t="str" cm="1">
        <f t="array" aca="1" ref="AO1" ca="1">IF(INDIRECT("'Measurement Details'!A" &amp; COLUMN())="", "", INDIRECT("'Measurement Details'!A" &amp; COLUMN()))</f>
        <v/>
      </c>
      <c r="AP1" s="21" t="str" cm="1">
        <f t="array" aca="1" ref="AP1" ca="1">IF(INDIRECT("'Measurement Details'!A" &amp; COLUMN())="", "", INDIRECT("'Measurement Details'!A" &amp; COLUMN()))</f>
        <v/>
      </c>
      <c r="AQ1" s="21" t="str" cm="1">
        <f t="array" aca="1" ref="AQ1" ca="1">IF(INDIRECT("'Measurement Details'!A" &amp; COLUMN())="", "", INDIRECT("'Measurement Details'!A" &amp; COLUMN()))</f>
        <v/>
      </c>
      <c r="AR1" s="21" t="str" cm="1">
        <f t="array" aca="1" ref="AR1" ca="1">IF(INDIRECT("'Measurement Details'!A" &amp; COLUMN())="", "", INDIRECT("'Measurement Details'!A" &amp; COLUMN()))</f>
        <v/>
      </c>
      <c r="AS1" s="21" t="str" cm="1">
        <f t="array" aca="1" ref="AS1" ca="1">IF(INDIRECT("'Measurement Details'!A" &amp; COLUMN())="", "", INDIRECT("'Measurement Details'!A" &amp; COLUMN()))</f>
        <v/>
      </c>
      <c r="AT1" s="21" t="str" cm="1">
        <f t="array" aca="1" ref="AT1" ca="1">IF(INDIRECT("'Measurement Details'!A" &amp; COLUMN())="", "", INDIRECT("'Measurement Details'!A" &amp; COLUMN()))</f>
        <v/>
      </c>
      <c r="AU1" s="21" t="str" cm="1">
        <f t="array" aca="1" ref="AU1" ca="1">IF(INDIRECT("'Measurement Details'!A" &amp; COLUMN())="", "", INDIRECT("'Measurement Details'!A" &amp; COLUMN()))</f>
        <v/>
      </c>
      <c r="AV1" s="21" t="str" cm="1">
        <f t="array" aca="1" ref="AV1" ca="1">IF(INDIRECT("'Measurement Details'!A" &amp; COLUMN())="", "", INDIRECT("'Measurement Details'!A" &amp; COLUMN()))</f>
        <v/>
      </c>
      <c r="AW1" s="21" t="str" cm="1">
        <f t="array" aca="1" ref="AW1" ca="1">IF(INDIRECT("'Measurement Details'!A" &amp; COLUMN())="", "", INDIRECT("'Measurement Details'!A" &amp; COLUMN()))</f>
        <v/>
      </c>
      <c r="AX1" s="21" t="str" cm="1">
        <f t="array" aca="1" ref="AX1" ca="1">IF(INDIRECT("'Measurement Details'!A" &amp; COLUMN())="", "", INDIRECT("'Measurement Details'!A" &amp; COLUMN()))</f>
        <v/>
      </c>
      <c r="AY1" s="21" t="str" cm="1">
        <f t="array" aca="1" ref="AY1" ca="1">IF(INDIRECT("'Measurement Details'!A" &amp; COLUMN())="", "", INDIRECT("'Measurement Details'!A" &amp; COLUMN()))</f>
        <v/>
      </c>
      <c r="AZ1" s="21" t="str" cm="1">
        <f t="array" aca="1" ref="AZ1" ca="1">IF(INDIRECT("'Measurement Details'!A" &amp; COLUMN())="", "", INDIRECT("'Measurement Details'!A" &amp; COLUMN()))</f>
        <v/>
      </c>
      <c r="BA1" s="21" t="str" cm="1">
        <f t="array" aca="1" ref="BA1" ca="1">IF(INDIRECT("'Measurement Details'!A" &amp; COLUMN())="", "", INDIRECT("'Measurement Details'!A" &amp; COLUMN()))</f>
        <v/>
      </c>
      <c r="BB1" s="21" t="str" cm="1">
        <f t="array" aca="1" ref="BB1" ca="1">IF(INDIRECT("'Measurement Details'!A" &amp; COLUMN())="", "", INDIRECT("'Measurement Details'!A" &amp; COLUMN()))</f>
        <v/>
      </c>
      <c r="BC1" s="21" t="str" cm="1">
        <f t="array" aca="1" ref="BC1" ca="1">IF(INDIRECT("'Measurement Details'!A" &amp; COLUMN())="", "", INDIRECT("'Measurement Details'!A" &amp; COLUMN()))</f>
        <v/>
      </c>
      <c r="BD1" s="21" t="str" cm="1">
        <f t="array" aca="1" ref="BD1" ca="1">IF(INDIRECT("'Measurement Details'!A" &amp; COLUMN())="", "", INDIRECT("'Measurement Details'!A" &amp; COLUMN()))</f>
        <v/>
      </c>
      <c r="BE1" s="21" t="str" cm="1">
        <f t="array" aca="1" ref="BE1" ca="1">IF(INDIRECT("'Measurement Details'!A" &amp; COLUMN())="", "", INDIRECT("'Measurement Details'!A" &amp; COLUMN()))</f>
        <v/>
      </c>
      <c r="BF1" s="21" t="str" cm="1">
        <f t="array" aca="1" ref="BF1" ca="1">IF(INDIRECT("'Measurement Details'!A" &amp; COLUMN())="", "", INDIRECT("'Measurement Details'!A" &amp; COLUMN()))</f>
        <v/>
      </c>
    </row>
    <row r="2" spans="1:58" s="24" customFormat="1" x14ac:dyDescent="0.3">
      <c r="A2" s="17" t="s">
        <v>26</v>
      </c>
      <c r="B2" s="17" t="s">
        <v>192</v>
      </c>
      <c r="C2" s="33" t="str">
        <f t="shared" ref="C2:H11" ca="1" si="0">"D:\DPL\ISA3\Example Implementations\NASA Tool Wear\01) N_studies_with_1_assay_each\Data_mill\Case_"&amp;_xlfn.TEXTAFTER($A2,"s")&amp;"\Sensor\"&amp;C$1&amp;"\Case_"&amp;_xlfn.TEXTAFTER($A2,"s")&amp;"_time_run_"&amp;_xlfn.TEXTAFTER($B2,"Run ")&amp;".csv"</f>
        <v>D:\DPL\ISA3\Example Implementations\NASA Tool Wear\01) N_studies_with_1_assay_each\Data_mill\Case_01\Sensor\vib_table\Case_01_time_run_01.csv</v>
      </c>
      <c r="D2" s="33" t="str">
        <f t="shared" ca="1" si="0"/>
        <v>D:\DPL\ISA3\Example Implementations\NASA Tool Wear\01) N_studies_with_1_assay_each\Data_mill\Case_01\Sensor\vib_spindle\Case_01_time_run_01.csv</v>
      </c>
      <c r="E2" s="33" t="str">
        <f t="shared" ca="1" si="0"/>
        <v>D:\DPL\ISA3\Example Implementations\NASA Tool Wear\01) N_studies_with_1_assay_each\Data_mill\Case_01\Sensor\smcAC\Case_01_time_run_01.csv</v>
      </c>
      <c r="F2" s="33" t="str">
        <f t="shared" ca="1" si="0"/>
        <v>D:\DPL\ISA3\Example Implementations\NASA Tool Wear\01) N_studies_with_1_assay_each\Data_mill\Case_01\Sensor\smcDC\Case_01_time_run_01.csv</v>
      </c>
      <c r="G2" s="33" t="str">
        <f t="shared" ca="1" si="0"/>
        <v>D:\DPL\ISA3\Example Implementations\NASA Tool Wear\01) N_studies_with_1_assay_each\Data_mill\Case_01\Sensor\AE_table\Case_01_time_run_01.csv</v>
      </c>
      <c r="H2" s="33" t="str">
        <f t="shared" ca="1" si="0"/>
        <v>D:\DPL\ISA3\Example Implementations\NASA Tool Wear\01) N_studies_with_1_assay_each\Data_mill\Case_01\Sensor\AE_spindle\Case_01_time_run_01.csv</v>
      </c>
      <c r="I2" s="33"/>
      <c r="J2" s="33"/>
      <c r="K2" s="33"/>
    </row>
    <row r="3" spans="1:58" s="24" customFormat="1" x14ac:dyDescent="0.3">
      <c r="A3" s="17" t="s">
        <v>26</v>
      </c>
      <c r="B3" s="17" t="s">
        <v>193</v>
      </c>
      <c r="C3" s="33" t="str">
        <f t="shared" ca="1" si="0"/>
        <v>D:\DPL\ISA3\Example Implementations\NASA Tool Wear\01) N_studies_with_1_assay_each\Data_mill\Case_01\Sensor\vib_table\Case_01_time_run_02.csv</v>
      </c>
      <c r="D3" s="33" t="str">
        <f t="shared" ca="1" si="0"/>
        <v>D:\DPL\ISA3\Example Implementations\NASA Tool Wear\01) N_studies_with_1_assay_each\Data_mill\Case_01\Sensor\vib_spindle\Case_01_time_run_02.csv</v>
      </c>
      <c r="E3" s="33" t="str">
        <f t="shared" ca="1" si="0"/>
        <v>D:\DPL\ISA3\Example Implementations\NASA Tool Wear\01) N_studies_with_1_assay_each\Data_mill\Case_01\Sensor\smcAC\Case_01_time_run_02.csv</v>
      </c>
      <c r="F3" s="33" t="str">
        <f t="shared" ca="1" si="0"/>
        <v>D:\DPL\ISA3\Example Implementations\NASA Tool Wear\01) N_studies_with_1_assay_each\Data_mill\Case_01\Sensor\smcDC\Case_01_time_run_02.csv</v>
      </c>
      <c r="G3" s="33" t="str">
        <f t="shared" ca="1" si="0"/>
        <v>D:\DPL\ISA3\Example Implementations\NASA Tool Wear\01) N_studies_with_1_assay_each\Data_mill\Case_01\Sensor\AE_table\Case_01_time_run_02.csv</v>
      </c>
      <c r="H3" s="33" t="str">
        <f t="shared" ca="1" si="0"/>
        <v>D:\DPL\ISA3\Example Implementations\NASA Tool Wear\01) N_studies_with_1_assay_each\Data_mill\Case_01\Sensor\AE_spindle\Case_01_time_run_02.csv</v>
      </c>
      <c r="I3" s="33"/>
      <c r="J3" s="33"/>
      <c r="K3" s="33"/>
    </row>
    <row r="4" spans="1:58" s="24" customFormat="1" x14ac:dyDescent="0.3">
      <c r="A4" s="17" t="s">
        <v>26</v>
      </c>
      <c r="B4" s="17" t="s">
        <v>194</v>
      </c>
      <c r="C4" s="33" t="str">
        <f t="shared" ca="1" si="0"/>
        <v>D:\DPL\ISA3\Example Implementations\NASA Tool Wear\01) N_studies_with_1_assay_each\Data_mill\Case_01\Sensor\vib_table\Case_01_time_run_03.csv</v>
      </c>
      <c r="D4" s="33" t="str">
        <f t="shared" ca="1" si="0"/>
        <v>D:\DPL\ISA3\Example Implementations\NASA Tool Wear\01) N_studies_with_1_assay_each\Data_mill\Case_01\Sensor\vib_spindle\Case_01_time_run_03.csv</v>
      </c>
      <c r="E4" s="33" t="str">
        <f t="shared" ca="1" si="0"/>
        <v>D:\DPL\ISA3\Example Implementations\NASA Tool Wear\01) N_studies_with_1_assay_each\Data_mill\Case_01\Sensor\smcAC\Case_01_time_run_03.csv</v>
      </c>
      <c r="F4" s="33" t="str">
        <f t="shared" ca="1" si="0"/>
        <v>D:\DPL\ISA3\Example Implementations\NASA Tool Wear\01) N_studies_with_1_assay_each\Data_mill\Case_01\Sensor\smcDC\Case_01_time_run_03.csv</v>
      </c>
      <c r="G4" s="33" t="str">
        <f t="shared" ca="1" si="0"/>
        <v>D:\DPL\ISA3\Example Implementations\NASA Tool Wear\01) N_studies_with_1_assay_each\Data_mill\Case_01\Sensor\AE_table\Case_01_time_run_03.csv</v>
      </c>
      <c r="H4" s="33" t="str">
        <f t="shared" ca="1" si="0"/>
        <v>D:\DPL\ISA3\Example Implementations\NASA Tool Wear\01) N_studies_with_1_assay_each\Data_mill\Case_01\Sensor\AE_spindle\Case_01_time_run_03.csv</v>
      </c>
      <c r="I4" s="33"/>
      <c r="J4" s="33"/>
      <c r="K4" s="33"/>
    </row>
    <row r="5" spans="1:58" s="24" customFormat="1" x14ac:dyDescent="0.3">
      <c r="A5" s="17" t="s">
        <v>26</v>
      </c>
      <c r="B5" s="17" t="s">
        <v>195</v>
      </c>
      <c r="C5" s="33" t="str">
        <f t="shared" ca="1" si="0"/>
        <v>D:\DPL\ISA3\Example Implementations\NASA Tool Wear\01) N_studies_with_1_assay_each\Data_mill\Case_01\Sensor\vib_table\Case_01_time_run_04.csv</v>
      </c>
      <c r="D5" s="33" t="str">
        <f t="shared" ca="1" si="0"/>
        <v>D:\DPL\ISA3\Example Implementations\NASA Tool Wear\01) N_studies_with_1_assay_each\Data_mill\Case_01\Sensor\vib_spindle\Case_01_time_run_04.csv</v>
      </c>
      <c r="E5" s="33" t="str">
        <f t="shared" ca="1" si="0"/>
        <v>D:\DPL\ISA3\Example Implementations\NASA Tool Wear\01) N_studies_with_1_assay_each\Data_mill\Case_01\Sensor\smcAC\Case_01_time_run_04.csv</v>
      </c>
      <c r="F5" s="33" t="str">
        <f t="shared" ca="1" si="0"/>
        <v>D:\DPL\ISA3\Example Implementations\NASA Tool Wear\01) N_studies_with_1_assay_each\Data_mill\Case_01\Sensor\smcDC\Case_01_time_run_04.csv</v>
      </c>
      <c r="G5" s="33" t="str">
        <f t="shared" ca="1" si="0"/>
        <v>D:\DPL\ISA3\Example Implementations\NASA Tool Wear\01) N_studies_with_1_assay_each\Data_mill\Case_01\Sensor\AE_table\Case_01_time_run_04.csv</v>
      </c>
      <c r="H5" s="33" t="str">
        <f t="shared" ca="1" si="0"/>
        <v>D:\DPL\ISA3\Example Implementations\NASA Tool Wear\01) N_studies_with_1_assay_each\Data_mill\Case_01\Sensor\AE_spindle\Case_01_time_run_04.csv</v>
      </c>
      <c r="I5" s="33"/>
      <c r="J5" s="33"/>
      <c r="K5" s="33"/>
    </row>
    <row r="6" spans="1:58" s="24" customFormat="1" x14ac:dyDescent="0.3">
      <c r="A6" s="17" t="s">
        <v>26</v>
      </c>
      <c r="B6" s="17" t="s">
        <v>196</v>
      </c>
      <c r="C6" s="33" t="str">
        <f t="shared" ca="1" si="0"/>
        <v>D:\DPL\ISA3\Example Implementations\NASA Tool Wear\01) N_studies_with_1_assay_each\Data_mill\Case_01\Sensor\vib_table\Case_01_time_run_05.csv</v>
      </c>
      <c r="D6" s="33" t="str">
        <f t="shared" ca="1" si="0"/>
        <v>D:\DPL\ISA3\Example Implementations\NASA Tool Wear\01) N_studies_with_1_assay_each\Data_mill\Case_01\Sensor\vib_spindle\Case_01_time_run_05.csv</v>
      </c>
      <c r="E6" s="33" t="str">
        <f t="shared" ca="1" si="0"/>
        <v>D:\DPL\ISA3\Example Implementations\NASA Tool Wear\01) N_studies_with_1_assay_each\Data_mill\Case_01\Sensor\smcAC\Case_01_time_run_05.csv</v>
      </c>
      <c r="F6" s="33" t="str">
        <f t="shared" ca="1" si="0"/>
        <v>D:\DPL\ISA3\Example Implementations\NASA Tool Wear\01) N_studies_with_1_assay_each\Data_mill\Case_01\Sensor\smcDC\Case_01_time_run_05.csv</v>
      </c>
      <c r="G6" s="33" t="str">
        <f t="shared" ca="1" si="0"/>
        <v>D:\DPL\ISA3\Example Implementations\NASA Tool Wear\01) N_studies_with_1_assay_each\Data_mill\Case_01\Sensor\AE_table\Case_01_time_run_05.csv</v>
      </c>
      <c r="H6" s="33" t="str">
        <f t="shared" ca="1" si="0"/>
        <v>D:\DPL\ISA3\Example Implementations\NASA Tool Wear\01) N_studies_with_1_assay_each\Data_mill\Case_01\Sensor\AE_spindle\Case_01_time_run_05.csv</v>
      </c>
      <c r="I6" s="33"/>
      <c r="J6" s="33"/>
      <c r="K6" s="33"/>
    </row>
    <row r="7" spans="1:58" s="24" customFormat="1" x14ac:dyDescent="0.3">
      <c r="A7" s="17" t="s">
        <v>26</v>
      </c>
      <c r="B7" s="17" t="s">
        <v>197</v>
      </c>
      <c r="C7" s="33" t="str">
        <f t="shared" ca="1" si="0"/>
        <v>D:\DPL\ISA3\Example Implementations\NASA Tool Wear\01) N_studies_with_1_assay_each\Data_mill\Case_01\Sensor\vib_table\Case_01_time_run_06.csv</v>
      </c>
      <c r="D7" s="33" t="str">
        <f t="shared" ca="1" si="0"/>
        <v>D:\DPL\ISA3\Example Implementations\NASA Tool Wear\01) N_studies_with_1_assay_each\Data_mill\Case_01\Sensor\vib_spindle\Case_01_time_run_06.csv</v>
      </c>
      <c r="E7" s="33" t="str">
        <f t="shared" ca="1" si="0"/>
        <v>D:\DPL\ISA3\Example Implementations\NASA Tool Wear\01) N_studies_with_1_assay_each\Data_mill\Case_01\Sensor\smcAC\Case_01_time_run_06.csv</v>
      </c>
      <c r="F7" s="33" t="str">
        <f t="shared" ca="1" si="0"/>
        <v>D:\DPL\ISA3\Example Implementations\NASA Tool Wear\01) N_studies_with_1_assay_each\Data_mill\Case_01\Sensor\smcDC\Case_01_time_run_06.csv</v>
      </c>
      <c r="G7" s="33" t="str">
        <f t="shared" ca="1" si="0"/>
        <v>D:\DPL\ISA3\Example Implementations\NASA Tool Wear\01) N_studies_with_1_assay_each\Data_mill\Case_01\Sensor\AE_table\Case_01_time_run_06.csv</v>
      </c>
      <c r="H7" s="33" t="str">
        <f t="shared" ca="1" si="0"/>
        <v>D:\DPL\ISA3\Example Implementations\NASA Tool Wear\01) N_studies_with_1_assay_each\Data_mill\Case_01\Sensor\AE_spindle\Case_01_time_run_06.csv</v>
      </c>
      <c r="I7" s="33"/>
      <c r="J7" s="33"/>
      <c r="K7" s="33"/>
    </row>
    <row r="8" spans="1:58" s="24" customFormat="1" x14ac:dyDescent="0.3">
      <c r="A8" s="17" t="s">
        <v>26</v>
      </c>
      <c r="B8" s="17" t="s">
        <v>198</v>
      </c>
      <c r="C8" s="33" t="str">
        <f t="shared" ca="1" si="0"/>
        <v>D:\DPL\ISA3\Example Implementations\NASA Tool Wear\01) N_studies_with_1_assay_each\Data_mill\Case_01\Sensor\vib_table\Case_01_time_run_07.csv</v>
      </c>
      <c r="D8" s="33" t="str">
        <f t="shared" ca="1" si="0"/>
        <v>D:\DPL\ISA3\Example Implementations\NASA Tool Wear\01) N_studies_with_1_assay_each\Data_mill\Case_01\Sensor\vib_spindle\Case_01_time_run_07.csv</v>
      </c>
      <c r="E8" s="33" t="str">
        <f t="shared" ca="1" si="0"/>
        <v>D:\DPL\ISA3\Example Implementations\NASA Tool Wear\01) N_studies_with_1_assay_each\Data_mill\Case_01\Sensor\smcAC\Case_01_time_run_07.csv</v>
      </c>
      <c r="F8" s="33" t="str">
        <f t="shared" ca="1" si="0"/>
        <v>D:\DPL\ISA3\Example Implementations\NASA Tool Wear\01) N_studies_with_1_assay_each\Data_mill\Case_01\Sensor\smcDC\Case_01_time_run_07.csv</v>
      </c>
      <c r="G8" s="33" t="str">
        <f t="shared" ca="1" si="0"/>
        <v>D:\DPL\ISA3\Example Implementations\NASA Tool Wear\01) N_studies_with_1_assay_each\Data_mill\Case_01\Sensor\AE_table\Case_01_time_run_07.csv</v>
      </c>
      <c r="H8" s="33" t="str">
        <f t="shared" ca="1" si="0"/>
        <v>D:\DPL\ISA3\Example Implementations\NASA Tool Wear\01) N_studies_with_1_assay_each\Data_mill\Case_01\Sensor\AE_spindle\Case_01_time_run_07.csv</v>
      </c>
      <c r="I8" s="33"/>
      <c r="J8" s="33"/>
      <c r="K8" s="33"/>
    </row>
    <row r="9" spans="1:58" s="24" customFormat="1" x14ac:dyDescent="0.3">
      <c r="A9" s="17" t="s">
        <v>26</v>
      </c>
      <c r="B9" s="17" t="s">
        <v>199</v>
      </c>
      <c r="C9" s="33" t="str">
        <f t="shared" ca="1" si="0"/>
        <v>D:\DPL\ISA3\Example Implementations\NASA Tool Wear\01) N_studies_with_1_assay_each\Data_mill\Case_01\Sensor\vib_table\Case_01_time_run_08.csv</v>
      </c>
      <c r="D9" s="33" t="str">
        <f t="shared" ca="1" si="0"/>
        <v>D:\DPL\ISA3\Example Implementations\NASA Tool Wear\01) N_studies_with_1_assay_each\Data_mill\Case_01\Sensor\vib_spindle\Case_01_time_run_08.csv</v>
      </c>
      <c r="E9" s="33" t="str">
        <f t="shared" ca="1" si="0"/>
        <v>D:\DPL\ISA3\Example Implementations\NASA Tool Wear\01) N_studies_with_1_assay_each\Data_mill\Case_01\Sensor\smcAC\Case_01_time_run_08.csv</v>
      </c>
      <c r="F9" s="33" t="str">
        <f t="shared" ca="1" si="0"/>
        <v>D:\DPL\ISA3\Example Implementations\NASA Tool Wear\01) N_studies_with_1_assay_each\Data_mill\Case_01\Sensor\smcDC\Case_01_time_run_08.csv</v>
      </c>
      <c r="G9" s="33" t="str">
        <f t="shared" ca="1" si="0"/>
        <v>D:\DPL\ISA3\Example Implementations\NASA Tool Wear\01) N_studies_with_1_assay_each\Data_mill\Case_01\Sensor\AE_table\Case_01_time_run_08.csv</v>
      </c>
      <c r="H9" s="33" t="str">
        <f t="shared" ca="1" si="0"/>
        <v>D:\DPL\ISA3\Example Implementations\NASA Tool Wear\01) N_studies_with_1_assay_each\Data_mill\Case_01\Sensor\AE_spindle\Case_01_time_run_08.csv</v>
      </c>
      <c r="I9" s="33"/>
      <c r="J9" s="33"/>
      <c r="K9" s="33"/>
    </row>
    <row r="10" spans="1:58" s="24" customFormat="1" x14ac:dyDescent="0.3">
      <c r="A10" s="17" t="s">
        <v>26</v>
      </c>
      <c r="B10" s="17" t="s">
        <v>200</v>
      </c>
      <c r="C10" s="33" t="str">
        <f t="shared" ca="1" si="0"/>
        <v>D:\DPL\ISA3\Example Implementations\NASA Tool Wear\01) N_studies_with_1_assay_each\Data_mill\Case_01\Sensor\vib_table\Case_01_time_run_09.csv</v>
      </c>
      <c r="D10" s="33" t="str">
        <f t="shared" ca="1" si="0"/>
        <v>D:\DPL\ISA3\Example Implementations\NASA Tool Wear\01) N_studies_with_1_assay_each\Data_mill\Case_01\Sensor\vib_spindle\Case_01_time_run_09.csv</v>
      </c>
      <c r="E10" s="33" t="str">
        <f t="shared" ca="1" si="0"/>
        <v>D:\DPL\ISA3\Example Implementations\NASA Tool Wear\01) N_studies_with_1_assay_each\Data_mill\Case_01\Sensor\smcAC\Case_01_time_run_09.csv</v>
      </c>
      <c r="F10" s="33" t="str">
        <f t="shared" ca="1" si="0"/>
        <v>D:\DPL\ISA3\Example Implementations\NASA Tool Wear\01) N_studies_with_1_assay_each\Data_mill\Case_01\Sensor\smcDC\Case_01_time_run_09.csv</v>
      </c>
      <c r="G10" s="33" t="str">
        <f t="shared" ca="1" si="0"/>
        <v>D:\DPL\ISA3\Example Implementations\NASA Tool Wear\01) N_studies_with_1_assay_each\Data_mill\Case_01\Sensor\AE_table\Case_01_time_run_09.csv</v>
      </c>
      <c r="H10" s="33" t="str">
        <f t="shared" ca="1" si="0"/>
        <v>D:\DPL\ISA3\Example Implementations\NASA Tool Wear\01) N_studies_with_1_assay_each\Data_mill\Case_01\Sensor\AE_spindle\Case_01_time_run_09.csv</v>
      </c>
      <c r="I10" s="33"/>
      <c r="J10" s="33"/>
      <c r="K10" s="33"/>
    </row>
    <row r="11" spans="1:58" s="24" customFormat="1" x14ac:dyDescent="0.3">
      <c r="A11" s="17" t="s">
        <v>26</v>
      </c>
      <c r="B11" s="17" t="s">
        <v>169</v>
      </c>
      <c r="C11" s="33" t="str">
        <f t="shared" ca="1" si="0"/>
        <v>D:\DPL\ISA3\Example Implementations\NASA Tool Wear\01) N_studies_with_1_assay_each\Data_mill\Case_01\Sensor\vib_table\Case_01_time_run_10.csv</v>
      </c>
      <c r="D11" s="33" t="str">
        <f t="shared" ca="1" si="0"/>
        <v>D:\DPL\ISA3\Example Implementations\NASA Tool Wear\01) N_studies_with_1_assay_each\Data_mill\Case_01\Sensor\vib_spindle\Case_01_time_run_10.csv</v>
      </c>
      <c r="E11" s="33" t="str">
        <f t="shared" ca="1" si="0"/>
        <v>D:\DPL\ISA3\Example Implementations\NASA Tool Wear\01) N_studies_with_1_assay_each\Data_mill\Case_01\Sensor\smcAC\Case_01_time_run_10.csv</v>
      </c>
      <c r="F11" s="33" t="str">
        <f t="shared" ca="1" si="0"/>
        <v>D:\DPL\ISA3\Example Implementations\NASA Tool Wear\01) N_studies_with_1_assay_each\Data_mill\Case_01\Sensor\smcDC\Case_01_time_run_10.csv</v>
      </c>
      <c r="G11" s="33" t="str">
        <f t="shared" ca="1" si="0"/>
        <v>D:\DPL\ISA3\Example Implementations\NASA Tool Wear\01) N_studies_with_1_assay_each\Data_mill\Case_01\Sensor\AE_table\Case_01_time_run_10.csv</v>
      </c>
      <c r="H11" s="33" t="str">
        <f t="shared" ca="1" si="0"/>
        <v>D:\DPL\ISA3\Example Implementations\NASA Tool Wear\01) N_studies_with_1_assay_each\Data_mill\Case_01\Sensor\AE_spindle\Case_01_time_run_10.csv</v>
      </c>
      <c r="I11" s="33"/>
      <c r="J11" s="33"/>
      <c r="K11" s="33"/>
    </row>
    <row r="12" spans="1:58" s="24" customFormat="1" x14ac:dyDescent="0.3">
      <c r="A12" s="17" t="s">
        <v>26</v>
      </c>
      <c r="B12" s="17" t="s">
        <v>170</v>
      </c>
      <c r="C12" s="33" t="str">
        <f t="shared" ref="C12:H21" ca="1" si="1">"D:\DPL\ISA3\Example Implementations\NASA Tool Wear\01) N_studies_with_1_assay_each\Data_mill\Case_"&amp;_xlfn.TEXTAFTER($A12,"s")&amp;"\Sensor\"&amp;C$1&amp;"\Case_"&amp;_xlfn.TEXTAFTER($A12,"s")&amp;"_time_run_"&amp;_xlfn.TEXTAFTER($B12,"Run ")&amp;".csv"</f>
        <v>D:\DPL\ISA3\Example Implementations\NASA Tool Wear\01) N_studies_with_1_assay_each\Data_mill\Case_01\Sensor\vib_table\Case_01_time_run_11.csv</v>
      </c>
      <c r="D12" s="33" t="str">
        <f t="shared" ca="1" si="1"/>
        <v>D:\DPL\ISA3\Example Implementations\NASA Tool Wear\01) N_studies_with_1_assay_each\Data_mill\Case_01\Sensor\vib_spindle\Case_01_time_run_11.csv</v>
      </c>
      <c r="E12" s="33" t="str">
        <f t="shared" ca="1" si="1"/>
        <v>D:\DPL\ISA3\Example Implementations\NASA Tool Wear\01) N_studies_with_1_assay_each\Data_mill\Case_01\Sensor\smcAC\Case_01_time_run_11.csv</v>
      </c>
      <c r="F12" s="33" t="str">
        <f t="shared" ca="1" si="1"/>
        <v>D:\DPL\ISA3\Example Implementations\NASA Tool Wear\01) N_studies_with_1_assay_each\Data_mill\Case_01\Sensor\smcDC\Case_01_time_run_11.csv</v>
      </c>
      <c r="G12" s="33" t="str">
        <f t="shared" ca="1" si="1"/>
        <v>D:\DPL\ISA3\Example Implementations\NASA Tool Wear\01) N_studies_with_1_assay_each\Data_mill\Case_01\Sensor\AE_table\Case_01_time_run_11.csv</v>
      </c>
      <c r="H12" s="33" t="str">
        <f t="shared" ca="1" si="1"/>
        <v>D:\DPL\ISA3\Example Implementations\NASA Tool Wear\01) N_studies_with_1_assay_each\Data_mill\Case_01\Sensor\AE_spindle\Case_01_time_run_11.csv</v>
      </c>
      <c r="I12" s="33"/>
      <c r="J12" s="33"/>
      <c r="K12" s="33"/>
    </row>
    <row r="13" spans="1:58" s="24" customFormat="1" x14ac:dyDescent="0.3">
      <c r="A13" s="17" t="s">
        <v>26</v>
      </c>
      <c r="B13" s="17" t="s">
        <v>171</v>
      </c>
      <c r="C13" s="33" t="str">
        <f t="shared" ca="1" si="1"/>
        <v>D:\DPL\ISA3\Example Implementations\NASA Tool Wear\01) N_studies_with_1_assay_each\Data_mill\Case_01\Sensor\vib_table\Case_01_time_run_12.csv</v>
      </c>
      <c r="D13" s="33" t="str">
        <f t="shared" ca="1" si="1"/>
        <v>D:\DPL\ISA3\Example Implementations\NASA Tool Wear\01) N_studies_with_1_assay_each\Data_mill\Case_01\Sensor\vib_spindle\Case_01_time_run_12.csv</v>
      </c>
      <c r="E13" s="33" t="str">
        <f t="shared" ca="1" si="1"/>
        <v>D:\DPL\ISA3\Example Implementations\NASA Tool Wear\01) N_studies_with_1_assay_each\Data_mill\Case_01\Sensor\smcAC\Case_01_time_run_12.csv</v>
      </c>
      <c r="F13" s="33" t="str">
        <f t="shared" ca="1" si="1"/>
        <v>D:\DPL\ISA3\Example Implementations\NASA Tool Wear\01) N_studies_with_1_assay_each\Data_mill\Case_01\Sensor\smcDC\Case_01_time_run_12.csv</v>
      </c>
      <c r="G13" s="33" t="str">
        <f t="shared" ca="1" si="1"/>
        <v>D:\DPL\ISA3\Example Implementations\NASA Tool Wear\01) N_studies_with_1_assay_each\Data_mill\Case_01\Sensor\AE_table\Case_01_time_run_12.csv</v>
      </c>
      <c r="H13" s="33" t="str">
        <f t="shared" ca="1" si="1"/>
        <v>D:\DPL\ISA3\Example Implementations\NASA Tool Wear\01) N_studies_with_1_assay_each\Data_mill\Case_01\Sensor\AE_spindle\Case_01_time_run_12.csv</v>
      </c>
      <c r="I13" s="33"/>
      <c r="J13" s="33"/>
      <c r="K13" s="33"/>
    </row>
    <row r="14" spans="1:58" s="24" customFormat="1" x14ac:dyDescent="0.3">
      <c r="A14" s="17" t="s">
        <v>26</v>
      </c>
      <c r="B14" s="17" t="s">
        <v>172</v>
      </c>
      <c r="C14" s="33" t="str">
        <f t="shared" ca="1" si="1"/>
        <v>D:\DPL\ISA3\Example Implementations\NASA Tool Wear\01) N_studies_with_1_assay_each\Data_mill\Case_01\Sensor\vib_table\Case_01_time_run_13.csv</v>
      </c>
      <c r="D14" s="33" t="str">
        <f t="shared" ca="1" si="1"/>
        <v>D:\DPL\ISA3\Example Implementations\NASA Tool Wear\01) N_studies_with_1_assay_each\Data_mill\Case_01\Sensor\vib_spindle\Case_01_time_run_13.csv</v>
      </c>
      <c r="E14" s="33" t="str">
        <f t="shared" ca="1" si="1"/>
        <v>D:\DPL\ISA3\Example Implementations\NASA Tool Wear\01) N_studies_with_1_assay_each\Data_mill\Case_01\Sensor\smcAC\Case_01_time_run_13.csv</v>
      </c>
      <c r="F14" s="33" t="str">
        <f t="shared" ca="1" si="1"/>
        <v>D:\DPL\ISA3\Example Implementations\NASA Tool Wear\01) N_studies_with_1_assay_each\Data_mill\Case_01\Sensor\smcDC\Case_01_time_run_13.csv</v>
      </c>
      <c r="G14" s="33" t="str">
        <f t="shared" ca="1" si="1"/>
        <v>D:\DPL\ISA3\Example Implementations\NASA Tool Wear\01) N_studies_with_1_assay_each\Data_mill\Case_01\Sensor\AE_table\Case_01_time_run_13.csv</v>
      </c>
      <c r="H14" s="33" t="str">
        <f t="shared" ca="1" si="1"/>
        <v>D:\DPL\ISA3\Example Implementations\NASA Tool Wear\01) N_studies_with_1_assay_each\Data_mill\Case_01\Sensor\AE_spindle\Case_01_time_run_13.csv</v>
      </c>
      <c r="I14" s="33"/>
      <c r="J14" s="33"/>
      <c r="K14" s="33"/>
    </row>
    <row r="15" spans="1:58" s="24" customFormat="1" x14ac:dyDescent="0.3">
      <c r="A15" s="17" t="s">
        <v>26</v>
      </c>
      <c r="B15" s="17" t="s">
        <v>173</v>
      </c>
      <c r="C15" s="33" t="str">
        <f t="shared" ca="1" si="1"/>
        <v>D:\DPL\ISA3\Example Implementations\NASA Tool Wear\01) N_studies_with_1_assay_each\Data_mill\Case_01\Sensor\vib_table\Case_01_time_run_14.csv</v>
      </c>
      <c r="D15" s="33" t="str">
        <f t="shared" ca="1" si="1"/>
        <v>D:\DPL\ISA3\Example Implementations\NASA Tool Wear\01) N_studies_with_1_assay_each\Data_mill\Case_01\Sensor\vib_spindle\Case_01_time_run_14.csv</v>
      </c>
      <c r="E15" s="33" t="str">
        <f t="shared" ca="1" si="1"/>
        <v>D:\DPL\ISA3\Example Implementations\NASA Tool Wear\01) N_studies_with_1_assay_each\Data_mill\Case_01\Sensor\smcAC\Case_01_time_run_14.csv</v>
      </c>
      <c r="F15" s="33" t="str">
        <f t="shared" ca="1" si="1"/>
        <v>D:\DPL\ISA3\Example Implementations\NASA Tool Wear\01) N_studies_with_1_assay_each\Data_mill\Case_01\Sensor\smcDC\Case_01_time_run_14.csv</v>
      </c>
      <c r="G15" s="33" t="str">
        <f t="shared" ca="1" si="1"/>
        <v>D:\DPL\ISA3\Example Implementations\NASA Tool Wear\01) N_studies_with_1_assay_each\Data_mill\Case_01\Sensor\AE_table\Case_01_time_run_14.csv</v>
      </c>
      <c r="H15" s="33" t="str">
        <f t="shared" ca="1" si="1"/>
        <v>D:\DPL\ISA3\Example Implementations\NASA Tool Wear\01) N_studies_with_1_assay_each\Data_mill\Case_01\Sensor\AE_spindle\Case_01_time_run_14.csv</v>
      </c>
      <c r="I15" s="33"/>
      <c r="J15" s="33"/>
      <c r="K15" s="33"/>
    </row>
    <row r="16" spans="1:58" s="24" customFormat="1" x14ac:dyDescent="0.3">
      <c r="A16" s="17" t="s">
        <v>26</v>
      </c>
      <c r="B16" s="17" t="s">
        <v>174</v>
      </c>
      <c r="C16" s="33" t="str">
        <f t="shared" ca="1" si="1"/>
        <v>D:\DPL\ISA3\Example Implementations\NASA Tool Wear\01) N_studies_with_1_assay_each\Data_mill\Case_01\Sensor\vib_table\Case_01_time_run_15.csv</v>
      </c>
      <c r="D16" s="33" t="str">
        <f t="shared" ca="1" si="1"/>
        <v>D:\DPL\ISA3\Example Implementations\NASA Tool Wear\01) N_studies_with_1_assay_each\Data_mill\Case_01\Sensor\vib_spindle\Case_01_time_run_15.csv</v>
      </c>
      <c r="E16" s="33" t="str">
        <f t="shared" ca="1" si="1"/>
        <v>D:\DPL\ISA3\Example Implementations\NASA Tool Wear\01) N_studies_with_1_assay_each\Data_mill\Case_01\Sensor\smcAC\Case_01_time_run_15.csv</v>
      </c>
      <c r="F16" s="33" t="str">
        <f t="shared" ca="1" si="1"/>
        <v>D:\DPL\ISA3\Example Implementations\NASA Tool Wear\01) N_studies_with_1_assay_each\Data_mill\Case_01\Sensor\smcDC\Case_01_time_run_15.csv</v>
      </c>
      <c r="G16" s="33" t="str">
        <f t="shared" ca="1" si="1"/>
        <v>D:\DPL\ISA3\Example Implementations\NASA Tool Wear\01) N_studies_with_1_assay_each\Data_mill\Case_01\Sensor\AE_table\Case_01_time_run_15.csv</v>
      </c>
      <c r="H16" s="33" t="str">
        <f t="shared" ca="1" si="1"/>
        <v>D:\DPL\ISA3\Example Implementations\NASA Tool Wear\01) N_studies_with_1_assay_each\Data_mill\Case_01\Sensor\AE_spindle\Case_01_time_run_15.csv</v>
      </c>
      <c r="I16" s="33"/>
      <c r="J16" s="33"/>
      <c r="K16" s="33"/>
    </row>
    <row r="17" spans="1:11" s="24" customFormat="1" x14ac:dyDescent="0.3">
      <c r="A17" s="17" t="s">
        <v>26</v>
      </c>
      <c r="B17" s="17" t="s">
        <v>175</v>
      </c>
      <c r="C17" s="33" t="str">
        <f t="shared" ca="1" si="1"/>
        <v>D:\DPL\ISA3\Example Implementations\NASA Tool Wear\01) N_studies_with_1_assay_each\Data_mill\Case_01\Sensor\vib_table\Case_01_time_run_16.csv</v>
      </c>
      <c r="D17" s="33" t="str">
        <f t="shared" ca="1" si="1"/>
        <v>D:\DPL\ISA3\Example Implementations\NASA Tool Wear\01) N_studies_with_1_assay_each\Data_mill\Case_01\Sensor\vib_spindle\Case_01_time_run_16.csv</v>
      </c>
      <c r="E17" s="33" t="str">
        <f t="shared" ca="1" si="1"/>
        <v>D:\DPL\ISA3\Example Implementations\NASA Tool Wear\01) N_studies_with_1_assay_each\Data_mill\Case_01\Sensor\smcAC\Case_01_time_run_16.csv</v>
      </c>
      <c r="F17" s="33" t="str">
        <f t="shared" ca="1" si="1"/>
        <v>D:\DPL\ISA3\Example Implementations\NASA Tool Wear\01) N_studies_with_1_assay_each\Data_mill\Case_01\Sensor\smcDC\Case_01_time_run_16.csv</v>
      </c>
      <c r="G17" s="33" t="str">
        <f t="shared" ca="1" si="1"/>
        <v>D:\DPL\ISA3\Example Implementations\NASA Tool Wear\01) N_studies_with_1_assay_each\Data_mill\Case_01\Sensor\AE_table\Case_01_time_run_16.csv</v>
      </c>
      <c r="H17" s="33" t="str">
        <f t="shared" ca="1" si="1"/>
        <v>D:\DPL\ISA3\Example Implementations\NASA Tool Wear\01) N_studies_with_1_assay_each\Data_mill\Case_01\Sensor\AE_spindle\Case_01_time_run_16.csv</v>
      </c>
      <c r="I17" s="33"/>
      <c r="J17" s="33"/>
      <c r="K17" s="33"/>
    </row>
    <row r="18" spans="1:11" s="21" customFormat="1" x14ac:dyDescent="0.3">
      <c r="A18" s="57" t="s">
        <v>26</v>
      </c>
      <c r="B18" s="57" t="s">
        <v>176</v>
      </c>
      <c r="C18" s="63" t="str">
        <f t="shared" ca="1" si="1"/>
        <v>D:\DPL\ISA3\Example Implementations\NASA Tool Wear\01) N_studies_with_1_assay_each\Data_mill\Case_01\Sensor\vib_table\Case_01_time_run_17.csv</v>
      </c>
      <c r="D18" s="63" t="str">
        <f t="shared" ca="1" si="1"/>
        <v>D:\DPL\ISA3\Example Implementations\NASA Tool Wear\01) N_studies_with_1_assay_each\Data_mill\Case_01\Sensor\vib_spindle\Case_01_time_run_17.csv</v>
      </c>
      <c r="E18" s="63" t="str">
        <f t="shared" ca="1" si="1"/>
        <v>D:\DPL\ISA3\Example Implementations\NASA Tool Wear\01) N_studies_with_1_assay_each\Data_mill\Case_01\Sensor\smcAC\Case_01_time_run_17.csv</v>
      </c>
      <c r="F18" s="63" t="str">
        <f t="shared" ca="1" si="1"/>
        <v>D:\DPL\ISA3\Example Implementations\NASA Tool Wear\01) N_studies_with_1_assay_each\Data_mill\Case_01\Sensor\smcDC\Case_01_time_run_17.csv</v>
      </c>
      <c r="G18" s="63" t="str">
        <f t="shared" ca="1" si="1"/>
        <v>D:\DPL\ISA3\Example Implementations\NASA Tool Wear\01) N_studies_with_1_assay_each\Data_mill\Case_01\Sensor\AE_table\Case_01_time_run_17.csv</v>
      </c>
      <c r="H18" s="63" t="str">
        <f t="shared" ca="1" si="1"/>
        <v>D:\DPL\ISA3\Example Implementations\NASA Tool Wear\01) N_studies_with_1_assay_each\Data_mill\Case_01\Sensor\AE_spindle\Case_01_time_run_17.csv</v>
      </c>
      <c r="I18" s="63"/>
      <c r="J18" s="63"/>
      <c r="K18" s="63"/>
    </row>
    <row r="19" spans="1:11" s="24" customFormat="1" x14ac:dyDescent="0.3">
      <c r="A19" s="17" t="s">
        <v>27</v>
      </c>
      <c r="B19" s="17" t="s">
        <v>192</v>
      </c>
      <c r="C19" s="33" t="str">
        <f t="shared" ca="1" si="1"/>
        <v>D:\DPL\ISA3\Example Implementations\NASA Tool Wear\01) N_studies_with_1_assay_each\Data_mill\Case_02\Sensor\vib_table\Case_02_time_run_01.csv</v>
      </c>
      <c r="D19" s="33" t="str">
        <f t="shared" ca="1" si="1"/>
        <v>D:\DPL\ISA3\Example Implementations\NASA Tool Wear\01) N_studies_with_1_assay_each\Data_mill\Case_02\Sensor\vib_spindle\Case_02_time_run_01.csv</v>
      </c>
      <c r="E19" s="33" t="str">
        <f t="shared" ca="1" si="1"/>
        <v>D:\DPL\ISA3\Example Implementations\NASA Tool Wear\01) N_studies_with_1_assay_each\Data_mill\Case_02\Sensor\smcAC\Case_02_time_run_01.csv</v>
      </c>
      <c r="F19" s="33" t="str">
        <f t="shared" ca="1" si="1"/>
        <v>D:\DPL\ISA3\Example Implementations\NASA Tool Wear\01) N_studies_with_1_assay_each\Data_mill\Case_02\Sensor\smcDC\Case_02_time_run_01.csv</v>
      </c>
      <c r="G19" s="33" t="str">
        <f t="shared" ca="1" si="1"/>
        <v>D:\DPL\ISA3\Example Implementations\NASA Tool Wear\01) N_studies_with_1_assay_each\Data_mill\Case_02\Sensor\AE_table\Case_02_time_run_01.csv</v>
      </c>
      <c r="H19" s="33" t="str">
        <f t="shared" ca="1" si="1"/>
        <v>D:\DPL\ISA3\Example Implementations\NASA Tool Wear\01) N_studies_with_1_assay_each\Data_mill\Case_02\Sensor\AE_spindle\Case_02_time_run_01.csv</v>
      </c>
      <c r="I19" s="33"/>
      <c r="J19" s="33"/>
      <c r="K19" s="33"/>
    </row>
    <row r="20" spans="1:11" s="24" customFormat="1" x14ac:dyDescent="0.3">
      <c r="A20" s="17" t="s">
        <v>27</v>
      </c>
      <c r="B20" s="17" t="s">
        <v>193</v>
      </c>
      <c r="C20" s="33" t="str">
        <f t="shared" ca="1" si="1"/>
        <v>D:\DPL\ISA3\Example Implementations\NASA Tool Wear\01) N_studies_with_1_assay_each\Data_mill\Case_02\Sensor\vib_table\Case_02_time_run_02.csv</v>
      </c>
      <c r="D20" s="33" t="str">
        <f t="shared" ca="1" si="1"/>
        <v>D:\DPL\ISA3\Example Implementations\NASA Tool Wear\01) N_studies_with_1_assay_each\Data_mill\Case_02\Sensor\vib_spindle\Case_02_time_run_02.csv</v>
      </c>
      <c r="E20" s="33" t="str">
        <f t="shared" ca="1" si="1"/>
        <v>D:\DPL\ISA3\Example Implementations\NASA Tool Wear\01) N_studies_with_1_assay_each\Data_mill\Case_02\Sensor\smcAC\Case_02_time_run_02.csv</v>
      </c>
      <c r="F20" s="33" t="str">
        <f t="shared" ca="1" si="1"/>
        <v>D:\DPL\ISA3\Example Implementations\NASA Tool Wear\01) N_studies_with_1_assay_each\Data_mill\Case_02\Sensor\smcDC\Case_02_time_run_02.csv</v>
      </c>
      <c r="G20" s="33" t="str">
        <f t="shared" ca="1" si="1"/>
        <v>D:\DPL\ISA3\Example Implementations\NASA Tool Wear\01) N_studies_with_1_assay_each\Data_mill\Case_02\Sensor\AE_table\Case_02_time_run_02.csv</v>
      </c>
      <c r="H20" s="33" t="str">
        <f t="shared" ca="1" si="1"/>
        <v>D:\DPL\ISA3\Example Implementations\NASA Tool Wear\01) N_studies_with_1_assay_each\Data_mill\Case_02\Sensor\AE_spindle\Case_02_time_run_02.csv</v>
      </c>
      <c r="I20" s="33"/>
      <c r="J20" s="33"/>
      <c r="K20" s="33"/>
    </row>
    <row r="21" spans="1:11" s="24" customFormat="1" x14ac:dyDescent="0.3">
      <c r="A21" s="17" t="s">
        <v>27</v>
      </c>
      <c r="B21" s="17" t="s">
        <v>194</v>
      </c>
      <c r="C21" s="33" t="str">
        <f t="shared" ca="1" si="1"/>
        <v>D:\DPL\ISA3\Example Implementations\NASA Tool Wear\01) N_studies_with_1_assay_each\Data_mill\Case_02\Sensor\vib_table\Case_02_time_run_03.csv</v>
      </c>
      <c r="D21" s="33" t="str">
        <f t="shared" ca="1" si="1"/>
        <v>D:\DPL\ISA3\Example Implementations\NASA Tool Wear\01) N_studies_with_1_assay_each\Data_mill\Case_02\Sensor\vib_spindle\Case_02_time_run_03.csv</v>
      </c>
      <c r="E21" s="33" t="str">
        <f t="shared" ca="1" si="1"/>
        <v>D:\DPL\ISA3\Example Implementations\NASA Tool Wear\01) N_studies_with_1_assay_each\Data_mill\Case_02\Sensor\smcAC\Case_02_time_run_03.csv</v>
      </c>
      <c r="F21" s="33" t="str">
        <f t="shared" ca="1" si="1"/>
        <v>D:\DPL\ISA3\Example Implementations\NASA Tool Wear\01) N_studies_with_1_assay_each\Data_mill\Case_02\Sensor\smcDC\Case_02_time_run_03.csv</v>
      </c>
      <c r="G21" s="33" t="str">
        <f t="shared" ca="1" si="1"/>
        <v>D:\DPL\ISA3\Example Implementations\NASA Tool Wear\01) N_studies_with_1_assay_each\Data_mill\Case_02\Sensor\AE_table\Case_02_time_run_03.csv</v>
      </c>
      <c r="H21" s="33" t="str">
        <f t="shared" ca="1" si="1"/>
        <v>D:\DPL\ISA3\Example Implementations\NASA Tool Wear\01) N_studies_with_1_assay_each\Data_mill\Case_02\Sensor\AE_spindle\Case_02_time_run_03.csv</v>
      </c>
      <c r="I21" s="33"/>
      <c r="J21" s="33"/>
      <c r="K21" s="33"/>
    </row>
    <row r="22" spans="1:11" s="24" customFormat="1" x14ac:dyDescent="0.3">
      <c r="A22" s="17" t="s">
        <v>27</v>
      </c>
      <c r="B22" s="17" t="s">
        <v>195</v>
      </c>
      <c r="C22" s="33" t="str">
        <f t="shared" ref="C22:H31" ca="1" si="2">"D:\DPL\ISA3\Example Implementations\NASA Tool Wear\01) N_studies_with_1_assay_each\Data_mill\Case_"&amp;_xlfn.TEXTAFTER($A22,"s")&amp;"\Sensor\"&amp;C$1&amp;"\Case_"&amp;_xlfn.TEXTAFTER($A22,"s")&amp;"_time_run_"&amp;_xlfn.TEXTAFTER($B22,"Run ")&amp;".csv"</f>
        <v>D:\DPL\ISA3\Example Implementations\NASA Tool Wear\01) N_studies_with_1_assay_each\Data_mill\Case_02\Sensor\vib_table\Case_02_time_run_04.csv</v>
      </c>
      <c r="D22" s="33" t="str">
        <f t="shared" ca="1" si="2"/>
        <v>D:\DPL\ISA3\Example Implementations\NASA Tool Wear\01) N_studies_with_1_assay_each\Data_mill\Case_02\Sensor\vib_spindle\Case_02_time_run_04.csv</v>
      </c>
      <c r="E22" s="33" t="str">
        <f t="shared" ca="1" si="2"/>
        <v>D:\DPL\ISA3\Example Implementations\NASA Tool Wear\01) N_studies_with_1_assay_each\Data_mill\Case_02\Sensor\smcAC\Case_02_time_run_04.csv</v>
      </c>
      <c r="F22" s="33" t="str">
        <f t="shared" ca="1" si="2"/>
        <v>D:\DPL\ISA3\Example Implementations\NASA Tool Wear\01) N_studies_with_1_assay_each\Data_mill\Case_02\Sensor\smcDC\Case_02_time_run_04.csv</v>
      </c>
      <c r="G22" s="33" t="str">
        <f t="shared" ca="1" si="2"/>
        <v>D:\DPL\ISA3\Example Implementations\NASA Tool Wear\01) N_studies_with_1_assay_each\Data_mill\Case_02\Sensor\AE_table\Case_02_time_run_04.csv</v>
      </c>
      <c r="H22" s="33" t="str">
        <f t="shared" ca="1" si="2"/>
        <v>D:\DPL\ISA3\Example Implementations\NASA Tool Wear\01) N_studies_with_1_assay_each\Data_mill\Case_02\Sensor\AE_spindle\Case_02_time_run_04.csv</v>
      </c>
      <c r="I22" s="33"/>
      <c r="J22" s="33"/>
      <c r="K22" s="33"/>
    </row>
    <row r="23" spans="1:11" s="24" customFormat="1" x14ac:dyDescent="0.3">
      <c r="A23" s="17" t="s">
        <v>27</v>
      </c>
      <c r="B23" s="17" t="s">
        <v>196</v>
      </c>
      <c r="C23" s="33" t="str">
        <f t="shared" ca="1" si="2"/>
        <v>D:\DPL\ISA3\Example Implementations\NASA Tool Wear\01) N_studies_with_1_assay_each\Data_mill\Case_02\Sensor\vib_table\Case_02_time_run_05.csv</v>
      </c>
      <c r="D23" s="33" t="str">
        <f t="shared" ca="1" si="2"/>
        <v>D:\DPL\ISA3\Example Implementations\NASA Tool Wear\01) N_studies_with_1_assay_each\Data_mill\Case_02\Sensor\vib_spindle\Case_02_time_run_05.csv</v>
      </c>
      <c r="E23" s="33" t="str">
        <f t="shared" ca="1" si="2"/>
        <v>D:\DPL\ISA3\Example Implementations\NASA Tool Wear\01) N_studies_with_1_assay_each\Data_mill\Case_02\Sensor\smcAC\Case_02_time_run_05.csv</v>
      </c>
      <c r="F23" s="33" t="str">
        <f t="shared" ca="1" si="2"/>
        <v>D:\DPL\ISA3\Example Implementations\NASA Tool Wear\01) N_studies_with_1_assay_each\Data_mill\Case_02\Sensor\smcDC\Case_02_time_run_05.csv</v>
      </c>
      <c r="G23" s="33" t="str">
        <f t="shared" ca="1" si="2"/>
        <v>D:\DPL\ISA3\Example Implementations\NASA Tool Wear\01) N_studies_with_1_assay_each\Data_mill\Case_02\Sensor\AE_table\Case_02_time_run_05.csv</v>
      </c>
      <c r="H23" s="33" t="str">
        <f t="shared" ca="1" si="2"/>
        <v>D:\DPL\ISA3\Example Implementations\NASA Tool Wear\01) N_studies_with_1_assay_each\Data_mill\Case_02\Sensor\AE_spindle\Case_02_time_run_05.csv</v>
      </c>
      <c r="I23" s="33"/>
      <c r="J23" s="33"/>
      <c r="K23" s="33"/>
    </row>
    <row r="24" spans="1:11" s="24" customFormat="1" x14ac:dyDescent="0.3">
      <c r="A24" s="17" t="s">
        <v>27</v>
      </c>
      <c r="B24" s="17" t="s">
        <v>197</v>
      </c>
      <c r="C24" s="33" t="str">
        <f t="shared" ca="1" si="2"/>
        <v>D:\DPL\ISA3\Example Implementations\NASA Tool Wear\01) N_studies_with_1_assay_each\Data_mill\Case_02\Sensor\vib_table\Case_02_time_run_06.csv</v>
      </c>
      <c r="D24" s="33" t="str">
        <f t="shared" ca="1" si="2"/>
        <v>D:\DPL\ISA3\Example Implementations\NASA Tool Wear\01) N_studies_with_1_assay_each\Data_mill\Case_02\Sensor\vib_spindle\Case_02_time_run_06.csv</v>
      </c>
      <c r="E24" s="33" t="str">
        <f t="shared" ca="1" si="2"/>
        <v>D:\DPL\ISA3\Example Implementations\NASA Tool Wear\01) N_studies_with_1_assay_each\Data_mill\Case_02\Sensor\smcAC\Case_02_time_run_06.csv</v>
      </c>
      <c r="F24" s="33" t="str">
        <f t="shared" ca="1" si="2"/>
        <v>D:\DPL\ISA3\Example Implementations\NASA Tool Wear\01) N_studies_with_1_assay_each\Data_mill\Case_02\Sensor\smcDC\Case_02_time_run_06.csv</v>
      </c>
      <c r="G24" s="33" t="str">
        <f t="shared" ca="1" si="2"/>
        <v>D:\DPL\ISA3\Example Implementations\NASA Tool Wear\01) N_studies_with_1_assay_each\Data_mill\Case_02\Sensor\AE_table\Case_02_time_run_06.csv</v>
      </c>
      <c r="H24" s="33" t="str">
        <f t="shared" ca="1" si="2"/>
        <v>D:\DPL\ISA3\Example Implementations\NASA Tool Wear\01) N_studies_with_1_assay_each\Data_mill\Case_02\Sensor\AE_spindle\Case_02_time_run_06.csv</v>
      </c>
      <c r="I24" s="33"/>
      <c r="J24" s="33"/>
      <c r="K24" s="33"/>
    </row>
    <row r="25" spans="1:11" s="24" customFormat="1" x14ac:dyDescent="0.3">
      <c r="A25" s="17" t="s">
        <v>27</v>
      </c>
      <c r="B25" s="17" t="s">
        <v>198</v>
      </c>
      <c r="C25" s="33" t="str">
        <f t="shared" ca="1" si="2"/>
        <v>D:\DPL\ISA3\Example Implementations\NASA Tool Wear\01) N_studies_with_1_assay_each\Data_mill\Case_02\Sensor\vib_table\Case_02_time_run_07.csv</v>
      </c>
      <c r="D25" s="33" t="str">
        <f t="shared" ca="1" si="2"/>
        <v>D:\DPL\ISA3\Example Implementations\NASA Tool Wear\01) N_studies_with_1_assay_each\Data_mill\Case_02\Sensor\vib_spindle\Case_02_time_run_07.csv</v>
      </c>
      <c r="E25" s="33" t="str">
        <f t="shared" ca="1" si="2"/>
        <v>D:\DPL\ISA3\Example Implementations\NASA Tool Wear\01) N_studies_with_1_assay_each\Data_mill\Case_02\Sensor\smcAC\Case_02_time_run_07.csv</v>
      </c>
      <c r="F25" s="33" t="str">
        <f t="shared" ca="1" si="2"/>
        <v>D:\DPL\ISA3\Example Implementations\NASA Tool Wear\01) N_studies_with_1_assay_each\Data_mill\Case_02\Sensor\smcDC\Case_02_time_run_07.csv</v>
      </c>
      <c r="G25" s="33" t="str">
        <f t="shared" ca="1" si="2"/>
        <v>D:\DPL\ISA3\Example Implementations\NASA Tool Wear\01) N_studies_with_1_assay_each\Data_mill\Case_02\Sensor\AE_table\Case_02_time_run_07.csv</v>
      </c>
      <c r="H25" s="33" t="str">
        <f t="shared" ca="1" si="2"/>
        <v>D:\DPL\ISA3\Example Implementations\NASA Tool Wear\01) N_studies_with_1_assay_each\Data_mill\Case_02\Sensor\AE_spindle\Case_02_time_run_07.csv</v>
      </c>
      <c r="I25" s="33"/>
      <c r="J25" s="33"/>
      <c r="K25" s="33"/>
    </row>
    <row r="26" spans="1:11" s="24" customFormat="1" x14ac:dyDescent="0.3">
      <c r="A26" s="17" t="s">
        <v>27</v>
      </c>
      <c r="B26" s="17" t="s">
        <v>199</v>
      </c>
      <c r="C26" s="33" t="str">
        <f t="shared" ca="1" si="2"/>
        <v>D:\DPL\ISA3\Example Implementations\NASA Tool Wear\01) N_studies_with_1_assay_each\Data_mill\Case_02\Sensor\vib_table\Case_02_time_run_08.csv</v>
      </c>
      <c r="D26" s="33" t="str">
        <f t="shared" ca="1" si="2"/>
        <v>D:\DPL\ISA3\Example Implementations\NASA Tool Wear\01) N_studies_with_1_assay_each\Data_mill\Case_02\Sensor\vib_spindle\Case_02_time_run_08.csv</v>
      </c>
      <c r="E26" s="33" t="str">
        <f t="shared" ca="1" si="2"/>
        <v>D:\DPL\ISA3\Example Implementations\NASA Tool Wear\01) N_studies_with_1_assay_each\Data_mill\Case_02\Sensor\smcAC\Case_02_time_run_08.csv</v>
      </c>
      <c r="F26" s="33" t="str">
        <f t="shared" ca="1" si="2"/>
        <v>D:\DPL\ISA3\Example Implementations\NASA Tool Wear\01) N_studies_with_1_assay_each\Data_mill\Case_02\Sensor\smcDC\Case_02_time_run_08.csv</v>
      </c>
      <c r="G26" s="33" t="str">
        <f t="shared" ca="1" si="2"/>
        <v>D:\DPL\ISA3\Example Implementations\NASA Tool Wear\01) N_studies_with_1_assay_each\Data_mill\Case_02\Sensor\AE_table\Case_02_time_run_08.csv</v>
      </c>
      <c r="H26" s="33" t="str">
        <f t="shared" ca="1" si="2"/>
        <v>D:\DPL\ISA3\Example Implementations\NASA Tool Wear\01) N_studies_with_1_assay_each\Data_mill\Case_02\Sensor\AE_spindle\Case_02_time_run_08.csv</v>
      </c>
      <c r="I26" s="33"/>
      <c r="J26" s="33"/>
      <c r="K26" s="33"/>
    </row>
    <row r="27" spans="1:11" s="24" customFormat="1" x14ac:dyDescent="0.3">
      <c r="A27" s="17" t="s">
        <v>27</v>
      </c>
      <c r="B27" s="17" t="s">
        <v>200</v>
      </c>
      <c r="C27" s="33" t="str">
        <f t="shared" ca="1" si="2"/>
        <v>D:\DPL\ISA3\Example Implementations\NASA Tool Wear\01) N_studies_with_1_assay_each\Data_mill\Case_02\Sensor\vib_table\Case_02_time_run_09.csv</v>
      </c>
      <c r="D27" s="33" t="str">
        <f t="shared" ca="1" si="2"/>
        <v>D:\DPL\ISA3\Example Implementations\NASA Tool Wear\01) N_studies_with_1_assay_each\Data_mill\Case_02\Sensor\vib_spindle\Case_02_time_run_09.csv</v>
      </c>
      <c r="E27" s="33" t="str">
        <f t="shared" ca="1" si="2"/>
        <v>D:\DPL\ISA3\Example Implementations\NASA Tool Wear\01) N_studies_with_1_assay_each\Data_mill\Case_02\Sensor\smcAC\Case_02_time_run_09.csv</v>
      </c>
      <c r="F27" s="33" t="str">
        <f t="shared" ca="1" si="2"/>
        <v>D:\DPL\ISA3\Example Implementations\NASA Tool Wear\01) N_studies_with_1_assay_each\Data_mill\Case_02\Sensor\smcDC\Case_02_time_run_09.csv</v>
      </c>
      <c r="G27" s="33" t="str">
        <f t="shared" ca="1" si="2"/>
        <v>D:\DPL\ISA3\Example Implementations\NASA Tool Wear\01) N_studies_with_1_assay_each\Data_mill\Case_02\Sensor\AE_table\Case_02_time_run_09.csv</v>
      </c>
      <c r="H27" s="33" t="str">
        <f t="shared" ca="1" si="2"/>
        <v>D:\DPL\ISA3\Example Implementations\NASA Tool Wear\01) N_studies_with_1_assay_each\Data_mill\Case_02\Sensor\AE_spindle\Case_02_time_run_09.csv</v>
      </c>
      <c r="I27" s="33"/>
      <c r="J27" s="33"/>
      <c r="K27" s="33"/>
    </row>
    <row r="28" spans="1:11" s="24" customFormat="1" x14ac:dyDescent="0.3">
      <c r="A28" s="17" t="s">
        <v>27</v>
      </c>
      <c r="B28" s="17" t="s">
        <v>169</v>
      </c>
      <c r="C28" s="33" t="str">
        <f t="shared" ca="1" si="2"/>
        <v>D:\DPL\ISA3\Example Implementations\NASA Tool Wear\01) N_studies_with_1_assay_each\Data_mill\Case_02\Sensor\vib_table\Case_02_time_run_10.csv</v>
      </c>
      <c r="D28" s="33" t="str">
        <f t="shared" ca="1" si="2"/>
        <v>D:\DPL\ISA3\Example Implementations\NASA Tool Wear\01) N_studies_with_1_assay_each\Data_mill\Case_02\Sensor\vib_spindle\Case_02_time_run_10.csv</v>
      </c>
      <c r="E28" s="33" t="str">
        <f t="shared" ca="1" si="2"/>
        <v>D:\DPL\ISA3\Example Implementations\NASA Tool Wear\01) N_studies_with_1_assay_each\Data_mill\Case_02\Sensor\smcAC\Case_02_time_run_10.csv</v>
      </c>
      <c r="F28" s="33" t="str">
        <f t="shared" ca="1" si="2"/>
        <v>D:\DPL\ISA3\Example Implementations\NASA Tool Wear\01) N_studies_with_1_assay_each\Data_mill\Case_02\Sensor\smcDC\Case_02_time_run_10.csv</v>
      </c>
      <c r="G28" s="33" t="str">
        <f t="shared" ca="1" si="2"/>
        <v>D:\DPL\ISA3\Example Implementations\NASA Tool Wear\01) N_studies_with_1_assay_each\Data_mill\Case_02\Sensor\AE_table\Case_02_time_run_10.csv</v>
      </c>
      <c r="H28" s="33" t="str">
        <f t="shared" ca="1" si="2"/>
        <v>D:\DPL\ISA3\Example Implementations\NASA Tool Wear\01) N_studies_with_1_assay_each\Data_mill\Case_02\Sensor\AE_spindle\Case_02_time_run_10.csv</v>
      </c>
      <c r="I28" s="33"/>
      <c r="J28" s="33"/>
      <c r="K28" s="33"/>
    </row>
    <row r="29" spans="1:11" s="24" customFormat="1" x14ac:dyDescent="0.3">
      <c r="A29" s="17" t="s">
        <v>27</v>
      </c>
      <c r="B29" s="17" t="s">
        <v>170</v>
      </c>
      <c r="C29" s="33" t="str">
        <f t="shared" ca="1" si="2"/>
        <v>D:\DPL\ISA3\Example Implementations\NASA Tool Wear\01) N_studies_with_1_assay_each\Data_mill\Case_02\Sensor\vib_table\Case_02_time_run_11.csv</v>
      </c>
      <c r="D29" s="33" t="str">
        <f t="shared" ca="1" si="2"/>
        <v>D:\DPL\ISA3\Example Implementations\NASA Tool Wear\01) N_studies_with_1_assay_each\Data_mill\Case_02\Sensor\vib_spindle\Case_02_time_run_11.csv</v>
      </c>
      <c r="E29" s="33" t="str">
        <f t="shared" ca="1" si="2"/>
        <v>D:\DPL\ISA3\Example Implementations\NASA Tool Wear\01) N_studies_with_1_assay_each\Data_mill\Case_02\Sensor\smcAC\Case_02_time_run_11.csv</v>
      </c>
      <c r="F29" s="33" t="str">
        <f t="shared" ca="1" si="2"/>
        <v>D:\DPL\ISA3\Example Implementations\NASA Tool Wear\01) N_studies_with_1_assay_each\Data_mill\Case_02\Sensor\smcDC\Case_02_time_run_11.csv</v>
      </c>
      <c r="G29" s="33" t="str">
        <f t="shared" ca="1" si="2"/>
        <v>D:\DPL\ISA3\Example Implementations\NASA Tool Wear\01) N_studies_with_1_assay_each\Data_mill\Case_02\Sensor\AE_table\Case_02_time_run_11.csv</v>
      </c>
      <c r="H29" s="33" t="str">
        <f t="shared" ca="1" si="2"/>
        <v>D:\DPL\ISA3\Example Implementations\NASA Tool Wear\01) N_studies_with_1_assay_each\Data_mill\Case_02\Sensor\AE_spindle\Case_02_time_run_11.csv</v>
      </c>
      <c r="I29" s="33"/>
      <c r="J29" s="33"/>
      <c r="K29" s="33"/>
    </row>
    <row r="30" spans="1:11" s="24" customFormat="1" x14ac:dyDescent="0.3">
      <c r="A30" s="17" t="s">
        <v>27</v>
      </c>
      <c r="B30" s="17" t="s">
        <v>171</v>
      </c>
      <c r="C30" s="33" t="str">
        <f t="shared" ca="1" si="2"/>
        <v>D:\DPL\ISA3\Example Implementations\NASA Tool Wear\01) N_studies_with_1_assay_each\Data_mill\Case_02\Sensor\vib_table\Case_02_time_run_12.csv</v>
      </c>
      <c r="D30" s="33" t="str">
        <f t="shared" ca="1" si="2"/>
        <v>D:\DPL\ISA3\Example Implementations\NASA Tool Wear\01) N_studies_with_1_assay_each\Data_mill\Case_02\Sensor\vib_spindle\Case_02_time_run_12.csv</v>
      </c>
      <c r="E30" s="33" t="str">
        <f t="shared" ca="1" si="2"/>
        <v>D:\DPL\ISA3\Example Implementations\NASA Tool Wear\01) N_studies_with_1_assay_each\Data_mill\Case_02\Sensor\smcAC\Case_02_time_run_12.csv</v>
      </c>
      <c r="F30" s="33" t="str">
        <f t="shared" ca="1" si="2"/>
        <v>D:\DPL\ISA3\Example Implementations\NASA Tool Wear\01) N_studies_with_1_assay_each\Data_mill\Case_02\Sensor\smcDC\Case_02_time_run_12.csv</v>
      </c>
      <c r="G30" s="33" t="str">
        <f t="shared" ca="1" si="2"/>
        <v>D:\DPL\ISA3\Example Implementations\NASA Tool Wear\01) N_studies_with_1_assay_each\Data_mill\Case_02\Sensor\AE_table\Case_02_time_run_12.csv</v>
      </c>
      <c r="H30" s="33" t="str">
        <f t="shared" ca="1" si="2"/>
        <v>D:\DPL\ISA3\Example Implementations\NASA Tool Wear\01) N_studies_with_1_assay_each\Data_mill\Case_02\Sensor\AE_spindle\Case_02_time_run_12.csv</v>
      </c>
      <c r="I30" s="33"/>
      <c r="J30" s="33"/>
      <c r="K30" s="33"/>
    </row>
    <row r="31" spans="1:11" s="24" customFormat="1" x14ac:dyDescent="0.3">
      <c r="A31" s="17" t="s">
        <v>27</v>
      </c>
      <c r="B31" s="17" t="s">
        <v>172</v>
      </c>
      <c r="C31" s="33" t="str">
        <f t="shared" ca="1" si="2"/>
        <v>D:\DPL\ISA3\Example Implementations\NASA Tool Wear\01) N_studies_with_1_assay_each\Data_mill\Case_02\Sensor\vib_table\Case_02_time_run_13.csv</v>
      </c>
      <c r="D31" s="33" t="str">
        <f t="shared" ca="1" si="2"/>
        <v>D:\DPL\ISA3\Example Implementations\NASA Tool Wear\01) N_studies_with_1_assay_each\Data_mill\Case_02\Sensor\vib_spindle\Case_02_time_run_13.csv</v>
      </c>
      <c r="E31" s="33" t="str">
        <f t="shared" ca="1" si="2"/>
        <v>D:\DPL\ISA3\Example Implementations\NASA Tool Wear\01) N_studies_with_1_assay_each\Data_mill\Case_02\Sensor\smcAC\Case_02_time_run_13.csv</v>
      </c>
      <c r="F31" s="33" t="str">
        <f t="shared" ca="1" si="2"/>
        <v>D:\DPL\ISA3\Example Implementations\NASA Tool Wear\01) N_studies_with_1_assay_each\Data_mill\Case_02\Sensor\smcDC\Case_02_time_run_13.csv</v>
      </c>
      <c r="G31" s="33" t="str">
        <f t="shared" ca="1" si="2"/>
        <v>D:\DPL\ISA3\Example Implementations\NASA Tool Wear\01) N_studies_with_1_assay_each\Data_mill\Case_02\Sensor\AE_table\Case_02_time_run_13.csv</v>
      </c>
      <c r="H31" s="33" t="str">
        <f t="shared" ca="1" si="2"/>
        <v>D:\DPL\ISA3\Example Implementations\NASA Tool Wear\01) N_studies_with_1_assay_each\Data_mill\Case_02\Sensor\AE_spindle\Case_02_time_run_13.csv</v>
      </c>
      <c r="I31" s="33"/>
      <c r="J31" s="33"/>
      <c r="K31" s="33"/>
    </row>
    <row r="32" spans="1:11" s="21" customFormat="1" x14ac:dyDescent="0.3">
      <c r="A32" s="57" t="s">
        <v>27</v>
      </c>
      <c r="B32" s="57" t="s">
        <v>173</v>
      </c>
      <c r="C32" s="63" t="str">
        <f t="shared" ref="C32:H41" ca="1" si="3">"D:\DPL\ISA3\Example Implementations\NASA Tool Wear\01) N_studies_with_1_assay_each\Data_mill\Case_"&amp;_xlfn.TEXTAFTER($A32,"s")&amp;"\Sensor\"&amp;C$1&amp;"\Case_"&amp;_xlfn.TEXTAFTER($A32,"s")&amp;"_time_run_"&amp;_xlfn.TEXTAFTER($B32,"Run ")&amp;".csv"</f>
        <v>D:\DPL\ISA3\Example Implementations\NASA Tool Wear\01) N_studies_with_1_assay_each\Data_mill\Case_02\Sensor\vib_table\Case_02_time_run_14.csv</v>
      </c>
      <c r="D32" s="63" t="str">
        <f t="shared" ca="1" si="3"/>
        <v>D:\DPL\ISA3\Example Implementations\NASA Tool Wear\01) N_studies_with_1_assay_each\Data_mill\Case_02\Sensor\vib_spindle\Case_02_time_run_14.csv</v>
      </c>
      <c r="E32" s="63" t="str">
        <f t="shared" ca="1" si="3"/>
        <v>D:\DPL\ISA3\Example Implementations\NASA Tool Wear\01) N_studies_with_1_assay_each\Data_mill\Case_02\Sensor\smcAC\Case_02_time_run_14.csv</v>
      </c>
      <c r="F32" s="63" t="str">
        <f t="shared" ca="1" si="3"/>
        <v>D:\DPL\ISA3\Example Implementations\NASA Tool Wear\01) N_studies_with_1_assay_each\Data_mill\Case_02\Sensor\smcDC\Case_02_time_run_14.csv</v>
      </c>
      <c r="G32" s="63" t="str">
        <f t="shared" ca="1" si="3"/>
        <v>D:\DPL\ISA3\Example Implementations\NASA Tool Wear\01) N_studies_with_1_assay_each\Data_mill\Case_02\Sensor\AE_table\Case_02_time_run_14.csv</v>
      </c>
      <c r="H32" s="63" t="str">
        <f t="shared" ca="1" si="3"/>
        <v>D:\DPL\ISA3\Example Implementations\NASA Tool Wear\01) N_studies_with_1_assay_each\Data_mill\Case_02\Sensor\AE_spindle\Case_02_time_run_14.csv</v>
      </c>
      <c r="I32" s="63"/>
      <c r="J32" s="63"/>
      <c r="K32" s="63"/>
    </row>
    <row r="33" spans="1:11" s="24" customFormat="1" x14ac:dyDescent="0.3">
      <c r="A33" s="17" t="s">
        <v>73</v>
      </c>
      <c r="B33" s="17" t="s">
        <v>192</v>
      </c>
      <c r="C33" s="33" t="str">
        <f t="shared" ca="1" si="3"/>
        <v>D:\DPL\ISA3\Example Implementations\NASA Tool Wear\01) N_studies_with_1_assay_each\Data_mill\Case_03\Sensor\vib_table\Case_03_time_run_01.csv</v>
      </c>
      <c r="D33" s="33" t="str">
        <f t="shared" ca="1" si="3"/>
        <v>D:\DPL\ISA3\Example Implementations\NASA Tool Wear\01) N_studies_with_1_assay_each\Data_mill\Case_03\Sensor\vib_spindle\Case_03_time_run_01.csv</v>
      </c>
      <c r="E33" s="33" t="str">
        <f t="shared" ca="1" si="3"/>
        <v>D:\DPL\ISA3\Example Implementations\NASA Tool Wear\01) N_studies_with_1_assay_each\Data_mill\Case_03\Sensor\smcAC\Case_03_time_run_01.csv</v>
      </c>
      <c r="F33" s="33" t="str">
        <f t="shared" ca="1" si="3"/>
        <v>D:\DPL\ISA3\Example Implementations\NASA Tool Wear\01) N_studies_with_1_assay_each\Data_mill\Case_03\Sensor\smcDC\Case_03_time_run_01.csv</v>
      </c>
      <c r="G33" s="33" t="str">
        <f t="shared" ca="1" si="3"/>
        <v>D:\DPL\ISA3\Example Implementations\NASA Tool Wear\01) N_studies_with_1_assay_each\Data_mill\Case_03\Sensor\AE_table\Case_03_time_run_01.csv</v>
      </c>
      <c r="H33" s="33" t="str">
        <f t="shared" ca="1" si="3"/>
        <v>D:\DPL\ISA3\Example Implementations\NASA Tool Wear\01) N_studies_with_1_assay_each\Data_mill\Case_03\Sensor\AE_spindle\Case_03_time_run_01.csv</v>
      </c>
      <c r="I33" s="33"/>
      <c r="J33" s="33"/>
      <c r="K33" s="33"/>
    </row>
    <row r="34" spans="1:11" s="24" customFormat="1" x14ac:dyDescent="0.3">
      <c r="A34" s="17" t="s">
        <v>73</v>
      </c>
      <c r="B34" s="17" t="s">
        <v>193</v>
      </c>
      <c r="C34" s="33" t="str">
        <f t="shared" ca="1" si="3"/>
        <v>D:\DPL\ISA3\Example Implementations\NASA Tool Wear\01) N_studies_with_1_assay_each\Data_mill\Case_03\Sensor\vib_table\Case_03_time_run_02.csv</v>
      </c>
      <c r="D34" s="33" t="str">
        <f t="shared" ca="1" si="3"/>
        <v>D:\DPL\ISA3\Example Implementations\NASA Tool Wear\01) N_studies_with_1_assay_each\Data_mill\Case_03\Sensor\vib_spindle\Case_03_time_run_02.csv</v>
      </c>
      <c r="E34" s="33" t="str">
        <f t="shared" ca="1" si="3"/>
        <v>D:\DPL\ISA3\Example Implementations\NASA Tool Wear\01) N_studies_with_1_assay_each\Data_mill\Case_03\Sensor\smcAC\Case_03_time_run_02.csv</v>
      </c>
      <c r="F34" s="33" t="str">
        <f t="shared" ca="1" si="3"/>
        <v>D:\DPL\ISA3\Example Implementations\NASA Tool Wear\01) N_studies_with_1_assay_each\Data_mill\Case_03\Sensor\smcDC\Case_03_time_run_02.csv</v>
      </c>
      <c r="G34" s="33" t="str">
        <f t="shared" ca="1" si="3"/>
        <v>D:\DPL\ISA3\Example Implementations\NASA Tool Wear\01) N_studies_with_1_assay_each\Data_mill\Case_03\Sensor\AE_table\Case_03_time_run_02.csv</v>
      </c>
      <c r="H34" s="33" t="str">
        <f t="shared" ca="1" si="3"/>
        <v>D:\DPL\ISA3\Example Implementations\NASA Tool Wear\01) N_studies_with_1_assay_each\Data_mill\Case_03\Sensor\AE_spindle\Case_03_time_run_02.csv</v>
      </c>
      <c r="I34" s="33"/>
      <c r="J34" s="33"/>
      <c r="K34" s="33"/>
    </row>
    <row r="35" spans="1:11" s="24" customFormat="1" x14ac:dyDescent="0.3">
      <c r="A35" s="17" t="s">
        <v>73</v>
      </c>
      <c r="B35" s="17" t="s">
        <v>194</v>
      </c>
      <c r="C35" s="33" t="str">
        <f t="shared" ca="1" si="3"/>
        <v>D:\DPL\ISA3\Example Implementations\NASA Tool Wear\01) N_studies_with_1_assay_each\Data_mill\Case_03\Sensor\vib_table\Case_03_time_run_03.csv</v>
      </c>
      <c r="D35" s="33" t="str">
        <f t="shared" ca="1" si="3"/>
        <v>D:\DPL\ISA3\Example Implementations\NASA Tool Wear\01) N_studies_with_1_assay_each\Data_mill\Case_03\Sensor\vib_spindle\Case_03_time_run_03.csv</v>
      </c>
      <c r="E35" s="33" t="str">
        <f t="shared" ca="1" si="3"/>
        <v>D:\DPL\ISA3\Example Implementations\NASA Tool Wear\01) N_studies_with_1_assay_each\Data_mill\Case_03\Sensor\smcAC\Case_03_time_run_03.csv</v>
      </c>
      <c r="F35" s="33" t="str">
        <f t="shared" ca="1" si="3"/>
        <v>D:\DPL\ISA3\Example Implementations\NASA Tool Wear\01) N_studies_with_1_assay_each\Data_mill\Case_03\Sensor\smcDC\Case_03_time_run_03.csv</v>
      </c>
      <c r="G35" s="33" t="str">
        <f t="shared" ca="1" si="3"/>
        <v>D:\DPL\ISA3\Example Implementations\NASA Tool Wear\01) N_studies_with_1_assay_each\Data_mill\Case_03\Sensor\AE_table\Case_03_time_run_03.csv</v>
      </c>
      <c r="H35" s="33" t="str">
        <f t="shared" ca="1" si="3"/>
        <v>D:\DPL\ISA3\Example Implementations\NASA Tool Wear\01) N_studies_with_1_assay_each\Data_mill\Case_03\Sensor\AE_spindle\Case_03_time_run_03.csv</v>
      </c>
      <c r="I35" s="33"/>
      <c r="J35" s="33"/>
      <c r="K35" s="33"/>
    </row>
    <row r="36" spans="1:11" s="24" customFormat="1" x14ac:dyDescent="0.3">
      <c r="A36" s="17" t="s">
        <v>73</v>
      </c>
      <c r="B36" s="17" t="s">
        <v>195</v>
      </c>
      <c r="C36" s="33" t="str">
        <f t="shared" ca="1" si="3"/>
        <v>D:\DPL\ISA3\Example Implementations\NASA Tool Wear\01) N_studies_with_1_assay_each\Data_mill\Case_03\Sensor\vib_table\Case_03_time_run_04.csv</v>
      </c>
      <c r="D36" s="33" t="str">
        <f t="shared" ca="1" si="3"/>
        <v>D:\DPL\ISA3\Example Implementations\NASA Tool Wear\01) N_studies_with_1_assay_each\Data_mill\Case_03\Sensor\vib_spindle\Case_03_time_run_04.csv</v>
      </c>
      <c r="E36" s="33" t="str">
        <f t="shared" ca="1" si="3"/>
        <v>D:\DPL\ISA3\Example Implementations\NASA Tool Wear\01) N_studies_with_1_assay_each\Data_mill\Case_03\Sensor\smcAC\Case_03_time_run_04.csv</v>
      </c>
      <c r="F36" s="33" t="str">
        <f t="shared" ca="1" si="3"/>
        <v>D:\DPL\ISA3\Example Implementations\NASA Tool Wear\01) N_studies_with_1_assay_each\Data_mill\Case_03\Sensor\smcDC\Case_03_time_run_04.csv</v>
      </c>
      <c r="G36" s="33" t="str">
        <f t="shared" ca="1" si="3"/>
        <v>D:\DPL\ISA3\Example Implementations\NASA Tool Wear\01) N_studies_with_1_assay_each\Data_mill\Case_03\Sensor\AE_table\Case_03_time_run_04.csv</v>
      </c>
      <c r="H36" s="33" t="str">
        <f t="shared" ca="1" si="3"/>
        <v>D:\DPL\ISA3\Example Implementations\NASA Tool Wear\01) N_studies_with_1_assay_each\Data_mill\Case_03\Sensor\AE_spindle\Case_03_time_run_04.csv</v>
      </c>
      <c r="I36" s="33"/>
      <c r="J36" s="33"/>
      <c r="K36" s="33"/>
    </row>
    <row r="37" spans="1:11" s="24" customFormat="1" x14ac:dyDescent="0.3">
      <c r="A37" s="17" t="s">
        <v>73</v>
      </c>
      <c r="B37" s="17" t="s">
        <v>196</v>
      </c>
      <c r="C37" s="33" t="str">
        <f t="shared" ca="1" si="3"/>
        <v>D:\DPL\ISA3\Example Implementations\NASA Tool Wear\01) N_studies_with_1_assay_each\Data_mill\Case_03\Sensor\vib_table\Case_03_time_run_05.csv</v>
      </c>
      <c r="D37" s="33" t="str">
        <f t="shared" ca="1" si="3"/>
        <v>D:\DPL\ISA3\Example Implementations\NASA Tool Wear\01) N_studies_with_1_assay_each\Data_mill\Case_03\Sensor\vib_spindle\Case_03_time_run_05.csv</v>
      </c>
      <c r="E37" s="33" t="str">
        <f t="shared" ca="1" si="3"/>
        <v>D:\DPL\ISA3\Example Implementations\NASA Tool Wear\01) N_studies_with_1_assay_each\Data_mill\Case_03\Sensor\smcAC\Case_03_time_run_05.csv</v>
      </c>
      <c r="F37" s="33" t="str">
        <f t="shared" ca="1" si="3"/>
        <v>D:\DPL\ISA3\Example Implementations\NASA Tool Wear\01) N_studies_with_1_assay_each\Data_mill\Case_03\Sensor\smcDC\Case_03_time_run_05.csv</v>
      </c>
      <c r="G37" s="33" t="str">
        <f t="shared" ca="1" si="3"/>
        <v>D:\DPL\ISA3\Example Implementations\NASA Tool Wear\01) N_studies_with_1_assay_each\Data_mill\Case_03\Sensor\AE_table\Case_03_time_run_05.csv</v>
      </c>
      <c r="H37" s="33" t="str">
        <f t="shared" ca="1" si="3"/>
        <v>D:\DPL\ISA3\Example Implementations\NASA Tool Wear\01) N_studies_with_1_assay_each\Data_mill\Case_03\Sensor\AE_spindle\Case_03_time_run_05.csv</v>
      </c>
      <c r="I37" s="33"/>
      <c r="J37" s="33"/>
      <c r="K37" s="33"/>
    </row>
    <row r="38" spans="1:11" s="24" customFormat="1" x14ac:dyDescent="0.3">
      <c r="A38" s="17" t="s">
        <v>73</v>
      </c>
      <c r="B38" s="17" t="s">
        <v>197</v>
      </c>
      <c r="C38" s="33" t="str">
        <f t="shared" ca="1" si="3"/>
        <v>D:\DPL\ISA3\Example Implementations\NASA Tool Wear\01) N_studies_with_1_assay_each\Data_mill\Case_03\Sensor\vib_table\Case_03_time_run_06.csv</v>
      </c>
      <c r="D38" s="33" t="str">
        <f t="shared" ca="1" si="3"/>
        <v>D:\DPL\ISA3\Example Implementations\NASA Tool Wear\01) N_studies_with_1_assay_each\Data_mill\Case_03\Sensor\vib_spindle\Case_03_time_run_06.csv</v>
      </c>
      <c r="E38" s="33" t="str">
        <f t="shared" ca="1" si="3"/>
        <v>D:\DPL\ISA3\Example Implementations\NASA Tool Wear\01) N_studies_with_1_assay_each\Data_mill\Case_03\Sensor\smcAC\Case_03_time_run_06.csv</v>
      </c>
      <c r="F38" s="33" t="str">
        <f t="shared" ca="1" si="3"/>
        <v>D:\DPL\ISA3\Example Implementations\NASA Tool Wear\01) N_studies_with_1_assay_each\Data_mill\Case_03\Sensor\smcDC\Case_03_time_run_06.csv</v>
      </c>
      <c r="G38" s="33" t="str">
        <f t="shared" ca="1" si="3"/>
        <v>D:\DPL\ISA3\Example Implementations\NASA Tool Wear\01) N_studies_with_1_assay_each\Data_mill\Case_03\Sensor\AE_table\Case_03_time_run_06.csv</v>
      </c>
      <c r="H38" s="33" t="str">
        <f t="shared" ca="1" si="3"/>
        <v>D:\DPL\ISA3\Example Implementations\NASA Tool Wear\01) N_studies_with_1_assay_each\Data_mill\Case_03\Sensor\AE_spindle\Case_03_time_run_06.csv</v>
      </c>
      <c r="I38" s="33"/>
      <c r="J38" s="33"/>
      <c r="K38" s="33"/>
    </row>
    <row r="39" spans="1:11" s="24" customFormat="1" x14ac:dyDescent="0.3">
      <c r="A39" s="17" t="s">
        <v>73</v>
      </c>
      <c r="B39" s="17" t="s">
        <v>198</v>
      </c>
      <c r="C39" s="33" t="str">
        <f t="shared" ca="1" si="3"/>
        <v>D:\DPL\ISA3\Example Implementations\NASA Tool Wear\01) N_studies_with_1_assay_each\Data_mill\Case_03\Sensor\vib_table\Case_03_time_run_07.csv</v>
      </c>
      <c r="D39" s="33" t="str">
        <f t="shared" ca="1" si="3"/>
        <v>D:\DPL\ISA3\Example Implementations\NASA Tool Wear\01) N_studies_with_1_assay_each\Data_mill\Case_03\Sensor\vib_spindle\Case_03_time_run_07.csv</v>
      </c>
      <c r="E39" s="33" t="str">
        <f t="shared" ca="1" si="3"/>
        <v>D:\DPL\ISA3\Example Implementations\NASA Tool Wear\01) N_studies_with_1_assay_each\Data_mill\Case_03\Sensor\smcAC\Case_03_time_run_07.csv</v>
      </c>
      <c r="F39" s="33" t="str">
        <f t="shared" ca="1" si="3"/>
        <v>D:\DPL\ISA3\Example Implementations\NASA Tool Wear\01) N_studies_with_1_assay_each\Data_mill\Case_03\Sensor\smcDC\Case_03_time_run_07.csv</v>
      </c>
      <c r="G39" s="33" t="str">
        <f t="shared" ca="1" si="3"/>
        <v>D:\DPL\ISA3\Example Implementations\NASA Tool Wear\01) N_studies_with_1_assay_each\Data_mill\Case_03\Sensor\AE_table\Case_03_time_run_07.csv</v>
      </c>
      <c r="H39" s="33" t="str">
        <f t="shared" ca="1" si="3"/>
        <v>D:\DPL\ISA3\Example Implementations\NASA Tool Wear\01) N_studies_with_1_assay_each\Data_mill\Case_03\Sensor\AE_spindle\Case_03_time_run_07.csv</v>
      </c>
      <c r="I39" s="33"/>
      <c r="J39" s="33"/>
      <c r="K39" s="33"/>
    </row>
    <row r="40" spans="1:11" s="24" customFormat="1" x14ac:dyDescent="0.3">
      <c r="A40" s="17" t="s">
        <v>73</v>
      </c>
      <c r="B40" s="17" t="s">
        <v>199</v>
      </c>
      <c r="C40" s="33" t="str">
        <f t="shared" ca="1" si="3"/>
        <v>D:\DPL\ISA3\Example Implementations\NASA Tool Wear\01) N_studies_with_1_assay_each\Data_mill\Case_03\Sensor\vib_table\Case_03_time_run_08.csv</v>
      </c>
      <c r="D40" s="33" t="str">
        <f t="shared" ca="1" si="3"/>
        <v>D:\DPL\ISA3\Example Implementations\NASA Tool Wear\01) N_studies_with_1_assay_each\Data_mill\Case_03\Sensor\vib_spindle\Case_03_time_run_08.csv</v>
      </c>
      <c r="E40" s="33" t="str">
        <f t="shared" ca="1" si="3"/>
        <v>D:\DPL\ISA3\Example Implementations\NASA Tool Wear\01) N_studies_with_1_assay_each\Data_mill\Case_03\Sensor\smcAC\Case_03_time_run_08.csv</v>
      </c>
      <c r="F40" s="33" t="str">
        <f t="shared" ca="1" si="3"/>
        <v>D:\DPL\ISA3\Example Implementations\NASA Tool Wear\01) N_studies_with_1_assay_each\Data_mill\Case_03\Sensor\smcDC\Case_03_time_run_08.csv</v>
      </c>
      <c r="G40" s="33" t="str">
        <f t="shared" ca="1" si="3"/>
        <v>D:\DPL\ISA3\Example Implementations\NASA Tool Wear\01) N_studies_with_1_assay_each\Data_mill\Case_03\Sensor\AE_table\Case_03_time_run_08.csv</v>
      </c>
      <c r="H40" s="33" t="str">
        <f t="shared" ca="1" si="3"/>
        <v>D:\DPL\ISA3\Example Implementations\NASA Tool Wear\01) N_studies_with_1_assay_each\Data_mill\Case_03\Sensor\AE_spindle\Case_03_time_run_08.csv</v>
      </c>
      <c r="I40" s="33"/>
      <c r="J40" s="33"/>
      <c r="K40" s="33"/>
    </row>
    <row r="41" spans="1:11" s="24" customFormat="1" x14ac:dyDescent="0.3">
      <c r="A41" s="17" t="s">
        <v>73</v>
      </c>
      <c r="B41" s="17" t="s">
        <v>200</v>
      </c>
      <c r="C41" s="33" t="str">
        <f t="shared" ca="1" si="3"/>
        <v>D:\DPL\ISA3\Example Implementations\NASA Tool Wear\01) N_studies_with_1_assay_each\Data_mill\Case_03\Sensor\vib_table\Case_03_time_run_09.csv</v>
      </c>
      <c r="D41" s="33" t="str">
        <f t="shared" ca="1" si="3"/>
        <v>D:\DPL\ISA3\Example Implementations\NASA Tool Wear\01) N_studies_with_1_assay_each\Data_mill\Case_03\Sensor\vib_spindle\Case_03_time_run_09.csv</v>
      </c>
      <c r="E41" s="33" t="str">
        <f t="shared" ca="1" si="3"/>
        <v>D:\DPL\ISA3\Example Implementations\NASA Tool Wear\01) N_studies_with_1_assay_each\Data_mill\Case_03\Sensor\smcAC\Case_03_time_run_09.csv</v>
      </c>
      <c r="F41" s="33" t="str">
        <f t="shared" ca="1" si="3"/>
        <v>D:\DPL\ISA3\Example Implementations\NASA Tool Wear\01) N_studies_with_1_assay_each\Data_mill\Case_03\Sensor\smcDC\Case_03_time_run_09.csv</v>
      </c>
      <c r="G41" s="33" t="str">
        <f t="shared" ca="1" si="3"/>
        <v>D:\DPL\ISA3\Example Implementations\NASA Tool Wear\01) N_studies_with_1_assay_each\Data_mill\Case_03\Sensor\AE_table\Case_03_time_run_09.csv</v>
      </c>
      <c r="H41" s="33" t="str">
        <f t="shared" ca="1" si="3"/>
        <v>D:\DPL\ISA3\Example Implementations\NASA Tool Wear\01) N_studies_with_1_assay_each\Data_mill\Case_03\Sensor\AE_spindle\Case_03_time_run_09.csv</v>
      </c>
      <c r="I41" s="33"/>
      <c r="J41" s="33"/>
      <c r="K41" s="33"/>
    </row>
    <row r="42" spans="1:11" s="24" customFormat="1" x14ac:dyDescent="0.3">
      <c r="A42" s="17" t="s">
        <v>73</v>
      </c>
      <c r="B42" s="17" t="s">
        <v>169</v>
      </c>
      <c r="C42" s="33" t="str">
        <f t="shared" ref="C42:H51" ca="1" si="4">"D:\DPL\ISA3\Example Implementations\NASA Tool Wear\01) N_studies_with_1_assay_each\Data_mill\Case_"&amp;_xlfn.TEXTAFTER($A42,"s")&amp;"\Sensor\"&amp;C$1&amp;"\Case_"&amp;_xlfn.TEXTAFTER($A42,"s")&amp;"_time_run_"&amp;_xlfn.TEXTAFTER($B42,"Run ")&amp;".csv"</f>
        <v>D:\DPL\ISA3\Example Implementations\NASA Tool Wear\01) N_studies_with_1_assay_each\Data_mill\Case_03\Sensor\vib_table\Case_03_time_run_10.csv</v>
      </c>
      <c r="D42" s="33" t="str">
        <f t="shared" ca="1" si="4"/>
        <v>D:\DPL\ISA3\Example Implementations\NASA Tool Wear\01) N_studies_with_1_assay_each\Data_mill\Case_03\Sensor\vib_spindle\Case_03_time_run_10.csv</v>
      </c>
      <c r="E42" s="33" t="str">
        <f t="shared" ca="1" si="4"/>
        <v>D:\DPL\ISA3\Example Implementations\NASA Tool Wear\01) N_studies_with_1_assay_each\Data_mill\Case_03\Sensor\smcAC\Case_03_time_run_10.csv</v>
      </c>
      <c r="F42" s="33" t="str">
        <f t="shared" ca="1" si="4"/>
        <v>D:\DPL\ISA3\Example Implementations\NASA Tool Wear\01) N_studies_with_1_assay_each\Data_mill\Case_03\Sensor\smcDC\Case_03_time_run_10.csv</v>
      </c>
      <c r="G42" s="33" t="str">
        <f t="shared" ca="1" si="4"/>
        <v>D:\DPL\ISA3\Example Implementations\NASA Tool Wear\01) N_studies_with_1_assay_each\Data_mill\Case_03\Sensor\AE_table\Case_03_time_run_10.csv</v>
      </c>
      <c r="H42" s="33" t="str">
        <f t="shared" ca="1" si="4"/>
        <v>D:\DPL\ISA3\Example Implementations\NASA Tool Wear\01) N_studies_with_1_assay_each\Data_mill\Case_03\Sensor\AE_spindle\Case_03_time_run_10.csv</v>
      </c>
      <c r="I42" s="33"/>
      <c r="J42" s="33"/>
      <c r="K42" s="33"/>
    </row>
    <row r="43" spans="1:11" s="24" customFormat="1" x14ac:dyDescent="0.3">
      <c r="A43" s="17" t="s">
        <v>73</v>
      </c>
      <c r="B43" s="17" t="s">
        <v>170</v>
      </c>
      <c r="C43" s="33" t="str">
        <f t="shared" ca="1" si="4"/>
        <v>D:\DPL\ISA3\Example Implementations\NASA Tool Wear\01) N_studies_with_1_assay_each\Data_mill\Case_03\Sensor\vib_table\Case_03_time_run_11.csv</v>
      </c>
      <c r="D43" s="33" t="str">
        <f t="shared" ca="1" si="4"/>
        <v>D:\DPL\ISA3\Example Implementations\NASA Tool Wear\01) N_studies_with_1_assay_each\Data_mill\Case_03\Sensor\vib_spindle\Case_03_time_run_11.csv</v>
      </c>
      <c r="E43" s="33" t="str">
        <f t="shared" ca="1" si="4"/>
        <v>D:\DPL\ISA3\Example Implementations\NASA Tool Wear\01) N_studies_with_1_assay_each\Data_mill\Case_03\Sensor\smcAC\Case_03_time_run_11.csv</v>
      </c>
      <c r="F43" s="33" t="str">
        <f t="shared" ca="1" si="4"/>
        <v>D:\DPL\ISA3\Example Implementations\NASA Tool Wear\01) N_studies_with_1_assay_each\Data_mill\Case_03\Sensor\smcDC\Case_03_time_run_11.csv</v>
      </c>
      <c r="G43" s="33" t="str">
        <f t="shared" ca="1" si="4"/>
        <v>D:\DPL\ISA3\Example Implementations\NASA Tool Wear\01) N_studies_with_1_assay_each\Data_mill\Case_03\Sensor\AE_table\Case_03_time_run_11.csv</v>
      </c>
      <c r="H43" s="33" t="str">
        <f t="shared" ca="1" si="4"/>
        <v>D:\DPL\ISA3\Example Implementations\NASA Tool Wear\01) N_studies_with_1_assay_each\Data_mill\Case_03\Sensor\AE_spindle\Case_03_time_run_11.csv</v>
      </c>
      <c r="I43" s="33"/>
      <c r="J43" s="33"/>
      <c r="K43" s="33"/>
    </row>
    <row r="44" spans="1:11" s="24" customFormat="1" x14ac:dyDescent="0.3">
      <c r="A44" s="17" t="s">
        <v>73</v>
      </c>
      <c r="B44" s="17" t="s">
        <v>171</v>
      </c>
      <c r="C44" s="33" t="str">
        <f t="shared" ca="1" si="4"/>
        <v>D:\DPL\ISA3\Example Implementations\NASA Tool Wear\01) N_studies_with_1_assay_each\Data_mill\Case_03\Sensor\vib_table\Case_03_time_run_12.csv</v>
      </c>
      <c r="D44" s="33" t="str">
        <f t="shared" ca="1" si="4"/>
        <v>D:\DPL\ISA3\Example Implementations\NASA Tool Wear\01) N_studies_with_1_assay_each\Data_mill\Case_03\Sensor\vib_spindle\Case_03_time_run_12.csv</v>
      </c>
      <c r="E44" s="33" t="str">
        <f t="shared" ca="1" si="4"/>
        <v>D:\DPL\ISA3\Example Implementations\NASA Tool Wear\01) N_studies_with_1_assay_each\Data_mill\Case_03\Sensor\smcAC\Case_03_time_run_12.csv</v>
      </c>
      <c r="F44" s="33" t="str">
        <f t="shared" ca="1" si="4"/>
        <v>D:\DPL\ISA3\Example Implementations\NASA Tool Wear\01) N_studies_with_1_assay_each\Data_mill\Case_03\Sensor\smcDC\Case_03_time_run_12.csv</v>
      </c>
      <c r="G44" s="33" t="str">
        <f t="shared" ca="1" si="4"/>
        <v>D:\DPL\ISA3\Example Implementations\NASA Tool Wear\01) N_studies_with_1_assay_each\Data_mill\Case_03\Sensor\AE_table\Case_03_time_run_12.csv</v>
      </c>
      <c r="H44" s="33" t="str">
        <f t="shared" ca="1" si="4"/>
        <v>D:\DPL\ISA3\Example Implementations\NASA Tool Wear\01) N_studies_with_1_assay_each\Data_mill\Case_03\Sensor\AE_spindle\Case_03_time_run_12.csv</v>
      </c>
      <c r="I44" s="33"/>
      <c r="J44" s="33"/>
      <c r="K44" s="33"/>
    </row>
    <row r="45" spans="1:11" s="24" customFormat="1" x14ac:dyDescent="0.3">
      <c r="A45" s="17" t="s">
        <v>73</v>
      </c>
      <c r="B45" s="17" t="s">
        <v>172</v>
      </c>
      <c r="C45" s="33" t="str">
        <f t="shared" ca="1" si="4"/>
        <v>D:\DPL\ISA3\Example Implementations\NASA Tool Wear\01) N_studies_with_1_assay_each\Data_mill\Case_03\Sensor\vib_table\Case_03_time_run_13.csv</v>
      </c>
      <c r="D45" s="33" t="str">
        <f t="shared" ca="1" si="4"/>
        <v>D:\DPL\ISA3\Example Implementations\NASA Tool Wear\01) N_studies_with_1_assay_each\Data_mill\Case_03\Sensor\vib_spindle\Case_03_time_run_13.csv</v>
      </c>
      <c r="E45" s="33" t="str">
        <f t="shared" ca="1" si="4"/>
        <v>D:\DPL\ISA3\Example Implementations\NASA Tool Wear\01) N_studies_with_1_assay_each\Data_mill\Case_03\Sensor\smcAC\Case_03_time_run_13.csv</v>
      </c>
      <c r="F45" s="33" t="str">
        <f t="shared" ca="1" si="4"/>
        <v>D:\DPL\ISA3\Example Implementations\NASA Tool Wear\01) N_studies_with_1_assay_each\Data_mill\Case_03\Sensor\smcDC\Case_03_time_run_13.csv</v>
      </c>
      <c r="G45" s="33" t="str">
        <f t="shared" ca="1" si="4"/>
        <v>D:\DPL\ISA3\Example Implementations\NASA Tool Wear\01) N_studies_with_1_assay_each\Data_mill\Case_03\Sensor\AE_table\Case_03_time_run_13.csv</v>
      </c>
      <c r="H45" s="33" t="str">
        <f t="shared" ca="1" si="4"/>
        <v>D:\DPL\ISA3\Example Implementations\NASA Tool Wear\01) N_studies_with_1_assay_each\Data_mill\Case_03\Sensor\AE_spindle\Case_03_time_run_13.csv</v>
      </c>
      <c r="I45" s="33"/>
      <c r="J45" s="33"/>
      <c r="K45" s="33"/>
    </row>
    <row r="46" spans="1:11" s="21" customFormat="1" x14ac:dyDescent="0.3">
      <c r="A46" s="57" t="s">
        <v>73</v>
      </c>
      <c r="B46" s="57" t="s">
        <v>173</v>
      </c>
      <c r="C46" s="63" t="str">
        <f t="shared" ca="1" si="4"/>
        <v>D:\DPL\ISA3\Example Implementations\NASA Tool Wear\01) N_studies_with_1_assay_each\Data_mill\Case_03\Sensor\vib_table\Case_03_time_run_14.csv</v>
      </c>
      <c r="D46" s="63" t="str">
        <f t="shared" ca="1" si="4"/>
        <v>D:\DPL\ISA3\Example Implementations\NASA Tool Wear\01) N_studies_with_1_assay_each\Data_mill\Case_03\Sensor\vib_spindle\Case_03_time_run_14.csv</v>
      </c>
      <c r="E46" s="63" t="str">
        <f t="shared" ca="1" si="4"/>
        <v>D:\DPL\ISA3\Example Implementations\NASA Tool Wear\01) N_studies_with_1_assay_each\Data_mill\Case_03\Sensor\smcAC\Case_03_time_run_14.csv</v>
      </c>
      <c r="F46" s="63" t="str">
        <f t="shared" ca="1" si="4"/>
        <v>D:\DPL\ISA3\Example Implementations\NASA Tool Wear\01) N_studies_with_1_assay_each\Data_mill\Case_03\Sensor\smcDC\Case_03_time_run_14.csv</v>
      </c>
      <c r="G46" s="63" t="str">
        <f t="shared" ca="1" si="4"/>
        <v>D:\DPL\ISA3\Example Implementations\NASA Tool Wear\01) N_studies_with_1_assay_each\Data_mill\Case_03\Sensor\AE_table\Case_03_time_run_14.csv</v>
      </c>
      <c r="H46" s="63" t="str">
        <f t="shared" ca="1" si="4"/>
        <v>D:\DPL\ISA3\Example Implementations\NASA Tool Wear\01) N_studies_with_1_assay_each\Data_mill\Case_03\Sensor\AE_spindle\Case_03_time_run_14.csv</v>
      </c>
      <c r="I46" s="63"/>
      <c r="J46" s="63"/>
      <c r="K46" s="63"/>
    </row>
    <row r="47" spans="1:11" s="24" customFormat="1" x14ac:dyDescent="0.3">
      <c r="A47" s="17" t="s">
        <v>74</v>
      </c>
      <c r="B47" s="17" t="s">
        <v>192</v>
      </c>
      <c r="C47" s="33" t="str">
        <f t="shared" ca="1" si="4"/>
        <v>D:\DPL\ISA3\Example Implementations\NASA Tool Wear\01) N_studies_with_1_assay_each\Data_mill\Case_04\Sensor\vib_table\Case_04_time_run_01.csv</v>
      </c>
      <c r="D47" s="33" t="str">
        <f t="shared" ca="1" si="4"/>
        <v>D:\DPL\ISA3\Example Implementations\NASA Tool Wear\01) N_studies_with_1_assay_each\Data_mill\Case_04\Sensor\vib_spindle\Case_04_time_run_01.csv</v>
      </c>
      <c r="E47" s="33" t="str">
        <f t="shared" ca="1" si="4"/>
        <v>D:\DPL\ISA3\Example Implementations\NASA Tool Wear\01) N_studies_with_1_assay_each\Data_mill\Case_04\Sensor\smcAC\Case_04_time_run_01.csv</v>
      </c>
      <c r="F47" s="33" t="str">
        <f t="shared" ca="1" si="4"/>
        <v>D:\DPL\ISA3\Example Implementations\NASA Tool Wear\01) N_studies_with_1_assay_each\Data_mill\Case_04\Sensor\smcDC\Case_04_time_run_01.csv</v>
      </c>
      <c r="G47" s="33" t="str">
        <f t="shared" ca="1" si="4"/>
        <v>D:\DPL\ISA3\Example Implementations\NASA Tool Wear\01) N_studies_with_1_assay_each\Data_mill\Case_04\Sensor\AE_table\Case_04_time_run_01.csv</v>
      </c>
      <c r="H47" s="33" t="str">
        <f t="shared" ca="1" si="4"/>
        <v>D:\DPL\ISA3\Example Implementations\NASA Tool Wear\01) N_studies_with_1_assay_each\Data_mill\Case_04\Sensor\AE_spindle\Case_04_time_run_01.csv</v>
      </c>
      <c r="I47" s="33"/>
      <c r="J47" s="33"/>
      <c r="K47" s="33"/>
    </row>
    <row r="48" spans="1:11" s="24" customFormat="1" x14ac:dyDescent="0.3">
      <c r="A48" s="17" t="s">
        <v>74</v>
      </c>
      <c r="B48" s="17" t="s">
        <v>193</v>
      </c>
      <c r="C48" s="33" t="str">
        <f t="shared" ca="1" si="4"/>
        <v>D:\DPL\ISA3\Example Implementations\NASA Tool Wear\01) N_studies_with_1_assay_each\Data_mill\Case_04\Sensor\vib_table\Case_04_time_run_02.csv</v>
      </c>
      <c r="D48" s="33" t="str">
        <f t="shared" ca="1" si="4"/>
        <v>D:\DPL\ISA3\Example Implementations\NASA Tool Wear\01) N_studies_with_1_assay_each\Data_mill\Case_04\Sensor\vib_spindle\Case_04_time_run_02.csv</v>
      </c>
      <c r="E48" s="33" t="str">
        <f t="shared" ca="1" si="4"/>
        <v>D:\DPL\ISA3\Example Implementations\NASA Tool Wear\01) N_studies_with_1_assay_each\Data_mill\Case_04\Sensor\smcAC\Case_04_time_run_02.csv</v>
      </c>
      <c r="F48" s="33" t="str">
        <f t="shared" ca="1" si="4"/>
        <v>D:\DPL\ISA3\Example Implementations\NASA Tool Wear\01) N_studies_with_1_assay_each\Data_mill\Case_04\Sensor\smcDC\Case_04_time_run_02.csv</v>
      </c>
      <c r="G48" s="33" t="str">
        <f t="shared" ca="1" si="4"/>
        <v>D:\DPL\ISA3\Example Implementations\NASA Tool Wear\01) N_studies_with_1_assay_each\Data_mill\Case_04\Sensor\AE_table\Case_04_time_run_02.csv</v>
      </c>
      <c r="H48" s="33" t="str">
        <f t="shared" ca="1" si="4"/>
        <v>D:\DPL\ISA3\Example Implementations\NASA Tool Wear\01) N_studies_with_1_assay_each\Data_mill\Case_04\Sensor\AE_spindle\Case_04_time_run_02.csv</v>
      </c>
      <c r="I48" s="33"/>
      <c r="J48" s="33"/>
      <c r="K48" s="33"/>
    </row>
    <row r="49" spans="1:58" s="24" customFormat="1" x14ac:dyDescent="0.3">
      <c r="A49" s="17" t="s">
        <v>74</v>
      </c>
      <c r="B49" s="17" t="s">
        <v>194</v>
      </c>
      <c r="C49" s="33" t="str">
        <f t="shared" ca="1" si="4"/>
        <v>D:\DPL\ISA3\Example Implementations\NASA Tool Wear\01) N_studies_with_1_assay_each\Data_mill\Case_04\Sensor\vib_table\Case_04_time_run_03.csv</v>
      </c>
      <c r="D49" s="33" t="str">
        <f t="shared" ca="1" si="4"/>
        <v>D:\DPL\ISA3\Example Implementations\NASA Tool Wear\01) N_studies_with_1_assay_each\Data_mill\Case_04\Sensor\vib_spindle\Case_04_time_run_03.csv</v>
      </c>
      <c r="E49" s="33" t="str">
        <f t="shared" ca="1" si="4"/>
        <v>D:\DPL\ISA3\Example Implementations\NASA Tool Wear\01) N_studies_with_1_assay_each\Data_mill\Case_04\Sensor\smcAC\Case_04_time_run_03.csv</v>
      </c>
      <c r="F49" s="33" t="str">
        <f t="shared" ca="1" si="4"/>
        <v>D:\DPL\ISA3\Example Implementations\NASA Tool Wear\01) N_studies_with_1_assay_each\Data_mill\Case_04\Sensor\smcDC\Case_04_time_run_03.csv</v>
      </c>
      <c r="G49" s="33" t="str">
        <f t="shared" ca="1" si="4"/>
        <v>D:\DPL\ISA3\Example Implementations\NASA Tool Wear\01) N_studies_with_1_assay_each\Data_mill\Case_04\Sensor\AE_table\Case_04_time_run_03.csv</v>
      </c>
      <c r="H49" s="33" t="str">
        <f t="shared" ca="1" si="4"/>
        <v>D:\DPL\ISA3\Example Implementations\NASA Tool Wear\01) N_studies_with_1_assay_each\Data_mill\Case_04\Sensor\AE_spindle\Case_04_time_run_03.csv</v>
      </c>
      <c r="I49" s="33"/>
      <c r="J49" s="33"/>
      <c r="K49" s="33"/>
    </row>
    <row r="50" spans="1:58" s="24" customFormat="1" x14ac:dyDescent="0.3">
      <c r="A50" s="17" t="s">
        <v>74</v>
      </c>
      <c r="B50" s="17" t="s">
        <v>195</v>
      </c>
      <c r="C50" s="33" t="str">
        <f t="shared" ca="1" si="4"/>
        <v>D:\DPL\ISA3\Example Implementations\NASA Tool Wear\01) N_studies_with_1_assay_each\Data_mill\Case_04\Sensor\vib_table\Case_04_time_run_04.csv</v>
      </c>
      <c r="D50" s="33" t="str">
        <f t="shared" ca="1" si="4"/>
        <v>D:\DPL\ISA3\Example Implementations\NASA Tool Wear\01) N_studies_with_1_assay_each\Data_mill\Case_04\Sensor\vib_spindle\Case_04_time_run_04.csv</v>
      </c>
      <c r="E50" s="33" t="str">
        <f t="shared" ca="1" si="4"/>
        <v>D:\DPL\ISA3\Example Implementations\NASA Tool Wear\01) N_studies_with_1_assay_each\Data_mill\Case_04\Sensor\smcAC\Case_04_time_run_04.csv</v>
      </c>
      <c r="F50" s="33" t="str">
        <f t="shared" ca="1" si="4"/>
        <v>D:\DPL\ISA3\Example Implementations\NASA Tool Wear\01) N_studies_with_1_assay_each\Data_mill\Case_04\Sensor\smcDC\Case_04_time_run_04.csv</v>
      </c>
      <c r="G50" s="33" t="str">
        <f t="shared" ca="1" si="4"/>
        <v>D:\DPL\ISA3\Example Implementations\NASA Tool Wear\01) N_studies_with_1_assay_each\Data_mill\Case_04\Sensor\AE_table\Case_04_time_run_04.csv</v>
      </c>
      <c r="H50" s="33" t="str">
        <f t="shared" ca="1" si="4"/>
        <v>D:\DPL\ISA3\Example Implementations\NASA Tool Wear\01) N_studies_with_1_assay_each\Data_mill\Case_04\Sensor\AE_spindle\Case_04_time_run_04.csv</v>
      </c>
      <c r="I50" s="33"/>
      <c r="J50" s="33"/>
      <c r="K50" s="33"/>
    </row>
    <row r="51" spans="1:58" s="24" customFormat="1" x14ac:dyDescent="0.3">
      <c r="A51" s="17" t="s">
        <v>74</v>
      </c>
      <c r="B51" s="17" t="s">
        <v>196</v>
      </c>
      <c r="C51" s="33" t="str">
        <f t="shared" ca="1" si="4"/>
        <v>D:\DPL\ISA3\Example Implementations\NASA Tool Wear\01) N_studies_with_1_assay_each\Data_mill\Case_04\Sensor\vib_table\Case_04_time_run_05.csv</v>
      </c>
      <c r="D51" s="33" t="str">
        <f t="shared" ca="1" si="4"/>
        <v>D:\DPL\ISA3\Example Implementations\NASA Tool Wear\01) N_studies_with_1_assay_each\Data_mill\Case_04\Sensor\vib_spindle\Case_04_time_run_05.csv</v>
      </c>
      <c r="E51" s="33" t="str">
        <f t="shared" ca="1" si="4"/>
        <v>D:\DPL\ISA3\Example Implementations\NASA Tool Wear\01) N_studies_with_1_assay_each\Data_mill\Case_04\Sensor\smcAC\Case_04_time_run_05.csv</v>
      </c>
      <c r="F51" s="33" t="str">
        <f t="shared" ca="1" si="4"/>
        <v>D:\DPL\ISA3\Example Implementations\NASA Tool Wear\01) N_studies_with_1_assay_each\Data_mill\Case_04\Sensor\smcDC\Case_04_time_run_05.csv</v>
      </c>
      <c r="G51" s="33" t="str">
        <f t="shared" ca="1" si="4"/>
        <v>D:\DPL\ISA3\Example Implementations\NASA Tool Wear\01) N_studies_with_1_assay_each\Data_mill\Case_04\Sensor\AE_table\Case_04_time_run_05.csv</v>
      </c>
      <c r="H51" s="33" t="str">
        <f t="shared" ca="1" si="4"/>
        <v>D:\DPL\ISA3\Example Implementations\NASA Tool Wear\01) N_studies_with_1_assay_each\Data_mill\Case_04\Sensor\AE_spindle\Case_04_time_run_05.csv</v>
      </c>
      <c r="I51" s="33"/>
      <c r="J51" s="33"/>
      <c r="K51" s="33"/>
    </row>
    <row r="52" spans="1:58" s="24" customFormat="1" x14ac:dyDescent="0.3">
      <c r="A52" s="17" t="s">
        <v>74</v>
      </c>
      <c r="B52" s="17" t="s">
        <v>197</v>
      </c>
      <c r="C52" s="33" t="str">
        <f t="shared" ref="C52:H61" ca="1" si="5">"D:\DPL\ISA3\Example Implementations\NASA Tool Wear\01) N_studies_with_1_assay_each\Data_mill\Case_"&amp;_xlfn.TEXTAFTER($A52,"s")&amp;"\Sensor\"&amp;C$1&amp;"\Case_"&amp;_xlfn.TEXTAFTER($A52,"s")&amp;"_time_run_"&amp;_xlfn.TEXTAFTER($B52,"Run ")&amp;".csv"</f>
        <v>D:\DPL\ISA3\Example Implementations\NASA Tool Wear\01) N_studies_with_1_assay_each\Data_mill\Case_04\Sensor\vib_table\Case_04_time_run_06.csv</v>
      </c>
      <c r="D52" s="33" t="str">
        <f t="shared" ca="1" si="5"/>
        <v>D:\DPL\ISA3\Example Implementations\NASA Tool Wear\01) N_studies_with_1_assay_each\Data_mill\Case_04\Sensor\vib_spindle\Case_04_time_run_06.csv</v>
      </c>
      <c r="E52" s="33" t="str">
        <f t="shared" ca="1" si="5"/>
        <v>D:\DPL\ISA3\Example Implementations\NASA Tool Wear\01) N_studies_with_1_assay_each\Data_mill\Case_04\Sensor\smcAC\Case_04_time_run_06.csv</v>
      </c>
      <c r="F52" s="33" t="str">
        <f t="shared" ca="1" si="5"/>
        <v>D:\DPL\ISA3\Example Implementations\NASA Tool Wear\01) N_studies_with_1_assay_each\Data_mill\Case_04\Sensor\smcDC\Case_04_time_run_06.csv</v>
      </c>
      <c r="G52" s="33" t="str">
        <f t="shared" ca="1" si="5"/>
        <v>D:\DPL\ISA3\Example Implementations\NASA Tool Wear\01) N_studies_with_1_assay_each\Data_mill\Case_04\Sensor\AE_table\Case_04_time_run_06.csv</v>
      </c>
      <c r="H52" s="33" t="str">
        <f t="shared" ca="1" si="5"/>
        <v>D:\DPL\ISA3\Example Implementations\NASA Tool Wear\01) N_studies_with_1_assay_each\Data_mill\Case_04\Sensor\AE_spindle\Case_04_time_run_06.csv</v>
      </c>
      <c r="I52" s="33"/>
      <c r="J52" s="33"/>
      <c r="K52" s="33"/>
    </row>
    <row r="53" spans="1:58" s="21" customFormat="1" x14ac:dyDescent="0.3">
      <c r="A53" s="57" t="s">
        <v>74</v>
      </c>
      <c r="B53" s="57" t="s">
        <v>198</v>
      </c>
      <c r="C53" s="63" t="str">
        <f t="shared" ca="1" si="5"/>
        <v>D:\DPL\ISA3\Example Implementations\NASA Tool Wear\01) N_studies_with_1_assay_each\Data_mill\Case_04\Sensor\vib_table\Case_04_time_run_07.csv</v>
      </c>
      <c r="D53" s="63" t="str">
        <f t="shared" ca="1" si="5"/>
        <v>D:\DPL\ISA3\Example Implementations\NASA Tool Wear\01) N_studies_with_1_assay_each\Data_mill\Case_04\Sensor\vib_spindle\Case_04_time_run_07.csv</v>
      </c>
      <c r="E53" s="63" t="str">
        <f t="shared" ca="1" si="5"/>
        <v>D:\DPL\ISA3\Example Implementations\NASA Tool Wear\01) N_studies_with_1_assay_each\Data_mill\Case_04\Sensor\smcAC\Case_04_time_run_07.csv</v>
      </c>
      <c r="F53" s="63" t="str">
        <f t="shared" ca="1" si="5"/>
        <v>D:\DPL\ISA3\Example Implementations\NASA Tool Wear\01) N_studies_with_1_assay_each\Data_mill\Case_04\Sensor\smcDC\Case_04_time_run_07.csv</v>
      </c>
      <c r="G53" s="63" t="str">
        <f t="shared" ca="1" si="5"/>
        <v>D:\DPL\ISA3\Example Implementations\NASA Tool Wear\01) N_studies_with_1_assay_each\Data_mill\Case_04\Sensor\AE_table\Case_04_time_run_07.csv</v>
      </c>
      <c r="H53" s="63" t="str">
        <f t="shared" ca="1" si="5"/>
        <v>D:\DPL\ISA3\Example Implementations\NASA Tool Wear\01) N_studies_with_1_assay_each\Data_mill\Case_04\Sensor\AE_spindle\Case_04_time_run_07.csv</v>
      </c>
      <c r="I53" s="63"/>
      <c r="J53" s="63"/>
      <c r="K53" s="63"/>
    </row>
    <row r="54" spans="1:58" s="24" customFormat="1" x14ac:dyDescent="0.3">
      <c r="A54" s="17" t="s">
        <v>75</v>
      </c>
      <c r="B54" s="17" t="s">
        <v>192</v>
      </c>
      <c r="C54" s="33" t="str">
        <f t="shared" ca="1" si="5"/>
        <v>D:\DPL\ISA3\Example Implementations\NASA Tool Wear\01) N_studies_with_1_assay_each\Data_mill\Case_05\Sensor\vib_table\Case_05_time_run_01.csv</v>
      </c>
      <c r="D54" s="33" t="str">
        <f t="shared" ca="1" si="5"/>
        <v>D:\DPL\ISA3\Example Implementations\NASA Tool Wear\01) N_studies_with_1_assay_each\Data_mill\Case_05\Sensor\vib_spindle\Case_05_time_run_01.csv</v>
      </c>
      <c r="E54" s="33" t="str">
        <f t="shared" ca="1" si="5"/>
        <v>D:\DPL\ISA3\Example Implementations\NASA Tool Wear\01) N_studies_with_1_assay_each\Data_mill\Case_05\Sensor\smcAC\Case_05_time_run_01.csv</v>
      </c>
      <c r="F54" s="33" t="str">
        <f t="shared" ca="1" si="5"/>
        <v>D:\DPL\ISA3\Example Implementations\NASA Tool Wear\01) N_studies_with_1_assay_each\Data_mill\Case_05\Sensor\smcDC\Case_05_time_run_01.csv</v>
      </c>
      <c r="G54" s="33" t="str">
        <f t="shared" ca="1" si="5"/>
        <v>D:\DPL\ISA3\Example Implementations\NASA Tool Wear\01) N_studies_with_1_assay_each\Data_mill\Case_05\Sensor\AE_table\Case_05_time_run_01.csv</v>
      </c>
      <c r="H54" s="33" t="str">
        <f t="shared" ca="1" si="5"/>
        <v>D:\DPL\ISA3\Example Implementations\NASA Tool Wear\01) N_studies_with_1_assay_each\Data_mill\Case_05\Sensor\AE_spindle\Case_05_time_run_01.csv</v>
      </c>
      <c r="I54" s="33"/>
      <c r="J54" s="33"/>
      <c r="K54" s="33"/>
    </row>
    <row r="55" spans="1:58" s="24" customFormat="1" x14ac:dyDescent="0.3">
      <c r="A55" s="17" t="s">
        <v>75</v>
      </c>
      <c r="B55" s="17" t="s">
        <v>193</v>
      </c>
      <c r="C55" s="33" t="str">
        <f t="shared" ca="1" si="5"/>
        <v>D:\DPL\ISA3\Example Implementations\NASA Tool Wear\01) N_studies_with_1_assay_each\Data_mill\Case_05\Sensor\vib_table\Case_05_time_run_02.csv</v>
      </c>
      <c r="D55" s="33" t="str">
        <f t="shared" ca="1" si="5"/>
        <v>D:\DPL\ISA3\Example Implementations\NASA Tool Wear\01) N_studies_with_1_assay_each\Data_mill\Case_05\Sensor\vib_spindle\Case_05_time_run_02.csv</v>
      </c>
      <c r="E55" s="33" t="str">
        <f t="shared" ca="1" si="5"/>
        <v>D:\DPL\ISA3\Example Implementations\NASA Tool Wear\01) N_studies_with_1_assay_each\Data_mill\Case_05\Sensor\smcAC\Case_05_time_run_02.csv</v>
      </c>
      <c r="F55" s="33" t="str">
        <f t="shared" ca="1" si="5"/>
        <v>D:\DPL\ISA3\Example Implementations\NASA Tool Wear\01) N_studies_with_1_assay_each\Data_mill\Case_05\Sensor\smcDC\Case_05_time_run_02.csv</v>
      </c>
      <c r="G55" s="33" t="str">
        <f t="shared" ca="1" si="5"/>
        <v>D:\DPL\ISA3\Example Implementations\NASA Tool Wear\01) N_studies_with_1_assay_each\Data_mill\Case_05\Sensor\AE_table\Case_05_time_run_02.csv</v>
      </c>
      <c r="H55" s="33" t="str">
        <f t="shared" ca="1" si="5"/>
        <v>D:\DPL\ISA3\Example Implementations\NASA Tool Wear\01) N_studies_with_1_assay_each\Data_mill\Case_05\Sensor\AE_spindle\Case_05_time_run_02.csv</v>
      </c>
      <c r="I55" s="33"/>
      <c r="J55" s="33"/>
      <c r="K55" s="33"/>
    </row>
    <row r="56" spans="1:58" s="24" customFormat="1" x14ac:dyDescent="0.3">
      <c r="A56" s="17" t="s">
        <v>75</v>
      </c>
      <c r="B56" s="17" t="s">
        <v>194</v>
      </c>
      <c r="C56" s="33" t="str">
        <f t="shared" ca="1" si="5"/>
        <v>D:\DPL\ISA3\Example Implementations\NASA Tool Wear\01) N_studies_with_1_assay_each\Data_mill\Case_05\Sensor\vib_table\Case_05_time_run_03.csv</v>
      </c>
      <c r="D56" s="33" t="str">
        <f t="shared" ca="1" si="5"/>
        <v>D:\DPL\ISA3\Example Implementations\NASA Tool Wear\01) N_studies_with_1_assay_each\Data_mill\Case_05\Sensor\vib_spindle\Case_05_time_run_03.csv</v>
      </c>
      <c r="E56" s="33" t="str">
        <f t="shared" ca="1" si="5"/>
        <v>D:\DPL\ISA3\Example Implementations\NASA Tool Wear\01) N_studies_with_1_assay_each\Data_mill\Case_05\Sensor\smcAC\Case_05_time_run_03.csv</v>
      </c>
      <c r="F56" s="33" t="str">
        <f t="shared" ca="1" si="5"/>
        <v>D:\DPL\ISA3\Example Implementations\NASA Tool Wear\01) N_studies_with_1_assay_each\Data_mill\Case_05\Sensor\smcDC\Case_05_time_run_03.csv</v>
      </c>
      <c r="G56" s="33" t="str">
        <f t="shared" ca="1" si="5"/>
        <v>D:\DPL\ISA3\Example Implementations\NASA Tool Wear\01) N_studies_with_1_assay_each\Data_mill\Case_05\Sensor\AE_table\Case_05_time_run_03.csv</v>
      </c>
      <c r="H56" s="33" t="str">
        <f t="shared" ca="1" si="5"/>
        <v>D:\DPL\ISA3\Example Implementations\NASA Tool Wear\01) N_studies_with_1_assay_each\Data_mill\Case_05\Sensor\AE_spindle\Case_05_time_run_03.csv</v>
      </c>
      <c r="I56" s="33"/>
      <c r="J56" s="33"/>
      <c r="K56" s="33"/>
    </row>
    <row r="57" spans="1:58" s="24" customFormat="1" x14ac:dyDescent="0.3">
      <c r="A57" s="17" t="s">
        <v>75</v>
      </c>
      <c r="B57" s="17" t="s">
        <v>195</v>
      </c>
      <c r="C57" s="33" t="str">
        <f t="shared" ca="1" si="5"/>
        <v>D:\DPL\ISA3\Example Implementations\NASA Tool Wear\01) N_studies_with_1_assay_each\Data_mill\Case_05\Sensor\vib_table\Case_05_time_run_04.csv</v>
      </c>
      <c r="D57" s="33" t="str">
        <f t="shared" ca="1" si="5"/>
        <v>D:\DPL\ISA3\Example Implementations\NASA Tool Wear\01) N_studies_with_1_assay_each\Data_mill\Case_05\Sensor\vib_spindle\Case_05_time_run_04.csv</v>
      </c>
      <c r="E57" s="33" t="str">
        <f t="shared" ca="1" si="5"/>
        <v>D:\DPL\ISA3\Example Implementations\NASA Tool Wear\01) N_studies_with_1_assay_each\Data_mill\Case_05\Sensor\smcAC\Case_05_time_run_04.csv</v>
      </c>
      <c r="F57" s="33" t="str">
        <f t="shared" ca="1" si="5"/>
        <v>D:\DPL\ISA3\Example Implementations\NASA Tool Wear\01) N_studies_with_1_assay_each\Data_mill\Case_05\Sensor\smcDC\Case_05_time_run_04.csv</v>
      </c>
      <c r="G57" s="33" t="str">
        <f t="shared" ca="1" si="5"/>
        <v>D:\DPL\ISA3\Example Implementations\NASA Tool Wear\01) N_studies_with_1_assay_each\Data_mill\Case_05\Sensor\AE_table\Case_05_time_run_04.csv</v>
      </c>
      <c r="H57" s="33" t="str">
        <f t="shared" ca="1" si="5"/>
        <v>D:\DPL\ISA3\Example Implementations\NASA Tool Wear\01) N_studies_with_1_assay_each\Data_mill\Case_05\Sensor\AE_spindle\Case_05_time_run_04.csv</v>
      </c>
      <c r="I57" s="33"/>
      <c r="J57" s="33"/>
      <c r="K57" s="33"/>
    </row>
    <row r="58" spans="1:58" s="24" customFormat="1" x14ac:dyDescent="0.3">
      <c r="A58" s="17" t="s">
        <v>75</v>
      </c>
      <c r="B58" s="17" t="s">
        <v>196</v>
      </c>
      <c r="C58" s="33" t="str">
        <f t="shared" ca="1" si="5"/>
        <v>D:\DPL\ISA3\Example Implementations\NASA Tool Wear\01) N_studies_with_1_assay_each\Data_mill\Case_05\Sensor\vib_table\Case_05_time_run_05.csv</v>
      </c>
      <c r="D58" s="33" t="str">
        <f t="shared" ca="1" si="5"/>
        <v>D:\DPL\ISA3\Example Implementations\NASA Tool Wear\01) N_studies_with_1_assay_each\Data_mill\Case_05\Sensor\vib_spindle\Case_05_time_run_05.csv</v>
      </c>
      <c r="E58" s="33" t="str">
        <f t="shared" ca="1" si="5"/>
        <v>D:\DPL\ISA3\Example Implementations\NASA Tool Wear\01) N_studies_with_1_assay_each\Data_mill\Case_05\Sensor\smcAC\Case_05_time_run_05.csv</v>
      </c>
      <c r="F58" s="33" t="str">
        <f t="shared" ca="1" si="5"/>
        <v>D:\DPL\ISA3\Example Implementations\NASA Tool Wear\01) N_studies_with_1_assay_each\Data_mill\Case_05\Sensor\smcDC\Case_05_time_run_05.csv</v>
      </c>
      <c r="G58" s="33" t="str">
        <f t="shared" ca="1" si="5"/>
        <v>D:\DPL\ISA3\Example Implementations\NASA Tool Wear\01) N_studies_with_1_assay_each\Data_mill\Case_05\Sensor\AE_table\Case_05_time_run_05.csv</v>
      </c>
      <c r="H58" s="33" t="str">
        <f t="shared" ca="1" si="5"/>
        <v>D:\DPL\ISA3\Example Implementations\NASA Tool Wear\01) N_studies_with_1_assay_each\Data_mill\Case_05\Sensor\AE_spindle\Case_05_time_run_05.csv</v>
      </c>
      <c r="I58" s="33"/>
      <c r="J58" s="33"/>
      <c r="K58" s="33"/>
    </row>
    <row r="59" spans="1:58" s="21" customFormat="1" x14ac:dyDescent="0.3">
      <c r="A59" s="57" t="s">
        <v>75</v>
      </c>
      <c r="B59" s="57" t="s">
        <v>197</v>
      </c>
      <c r="C59" s="63" t="str">
        <f t="shared" ca="1" si="5"/>
        <v>D:\DPL\ISA3\Example Implementations\NASA Tool Wear\01) N_studies_with_1_assay_each\Data_mill\Case_05\Sensor\vib_table\Case_05_time_run_06.csv</v>
      </c>
      <c r="D59" s="63" t="str">
        <f t="shared" ca="1" si="5"/>
        <v>D:\DPL\ISA3\Example Implementations\NASA Tool Wear\01) N_studies_with_1_assay_each\Data_mill\Case_05\Sensor\vib_spindle\Case_05_time_run_06.csv</v>
      </c>
      <c r="E59" s="63" t="str">
        <f t="shared" ca="1" si="5"/>
        <v>D:\DPL\ISA3\Example Implementations\NASA Tool Wear\01) N_studies_with_1_assay_each\Data_mill\Case_05\Sensor\smcAC\Case_05_time_run_06.csv</v>
      </c>
      <c r="F59" s="63" t="str">
        <f t="shared" ca="1" si="5"/>
        <v>D:\DPL\ISA3\Example Implementations\NASA Tool Wear\01) N_studies_with_1_assay_each\Data_mill\Case_05\Sensor\smcDC\Case_05_time_run_06.csv</v>
      </c>
      <c r="G59" s="63" t="str">
        <f t="shared" ca="1" si="5"/>
        <v>D:\DPL\ISA3\Example Implementations\NASA Tool Wear\01) N_studies_with_1_assay_each\Data_mill\Case_05\Sensor\AE_table\Case_05_time_run_06.csv</v>
      </c>
      <c r="H59" s="63" t="str">
        <f t="shared" ca="1" si="5"/>
        <v>D:\DPL\ISA3\Example Implementations\NASA Tool Wear\01) N_studies_with_1_assay_each\Data_mill\Case_05\Sensor\AE_spindle\Case_05_time_run_06.csv</v>
      </c>
      <c r="I59" s="63"/>
      <c r="J59" s="63"/>
      <c r="K59" s="63"/>
    </row>
    <row r="60" spans="1:58" s="21" customFormat="1" x14ac:dyDescent="0.3">
      <c r="A60" s="58" t="s">
        <v>76</v>
      </c>
      <c r="B60" s="58" t="s">
        <v>192</v>
      </c>
      <c r="C60" s="65" t="str">
        <f t="shared" ca="1" si="5"/>
        <v>D:\DPL\ISA3\Example Implementations\NASA Tool Wear\01) N_studies_with_1_assay_each\Data_mill\Case_06\Sensor\vib_table\Case_06_time_run_01.csv</v>
      </c>
      <c r="D60" s="65" t="str">
        <f t="shared" ca="1" si="5"/>
        <v>D:\DPL\ISA3\Example Implementations\NASA Tool Wear\01) N_studies_with_1_assay_each\Data_mill\Case_06\Sensor\vib_spindle\Case_06_time_run_01.csv</v>
      </c>
      <c r="E60" s="65" t="str">
        <f t="shared" ca="1" si="5"/>
        <v>D:\DPL\ISA3\Example Implementations\NASA Tool Wear\01) N_studies_with_1_assay_each\Data_mill\Case_06\Sensor\smcAC\Case_06_time_run_01.csv</v>
      </c>
      <c r="F60" s="65" t="str">
        <f t="shared" ca="1" si="5"/>
        <v>D:\DPL\ISA3\Example Implementations\NASA Tool Wear\01) N_studies_with_1_assay_each\Data_mill\Case_06\Sensor\smcDC\Case_06_time_run_01.csv</v>
      </c>
      <c r="G60" s="65" t="str">
        <f t="shared" ca="1" si="5"/>
        <v>D:\DPL\ISA3\Example Implementations\NASA Tool Wear\01) N_studies_with_1_assay_each\Data_mill\Case_06\Sensor\AE_table\Case_06_time_run_01.csv</v>
      </c>
      <c r="H60" s="65" t="str">
        <f t="shared" ca="1" si="5"/>
        <v>D:\DPL\ISA3\Example Implementations\NASA Tool Wear\01) N_studies_with_1_assay_each\Data_mill\Case_06\Sensor\AE_spindle\Case_06_time_run_01.csv</v>
      </c>
      <c r="I60" s="65"/>
      <c r="J60" s="65"/>
      <c r="K60" s="65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59"/>
      <c r="BA60" s="59"/>
      <c r="BB60" s="59"/>
      <c r="BC60" s="59"/>
      <c r="BD60" s="59"/>
      <c r="BE60" s="59"/>
      <c r="BF60" s="59"/>
    </row>
    <row r="61" spans="1:58" s="24" customFormat="1" x14ac:dyDescent="0.3">
      <c r="A61" s="17" t="s">
        <v>77</v>
      </c>
      <c r="B61" s="17" t="s">
        <v>192</v>
      </c>
      <c r="C61" s="33" t="str">
        <f t="shared" ca="1" si="5"/>
        <v>D:\DPL\ISA3\Example Implementations\NASA Tool Wear\01) N_studies_with_1_assay_each\Data_mill\Case_07\Sensor\vib_table\Case_07_time_run_01.csv</v>
      </c>
      <c r="D61" s="33" t="str">
        <f t="shared" ca="1" si="5"/>
        <v>D:\DPL\ISA3\Example Implementations\NASA Tool Wear\01) N_studies_with_1_assay_each\Data_mill\Case_07\Sensor\vib_spindle\Case_07_time_run_01.csv</v>
      </c>
      <c r="E61" s="33" t="str">
        <f t="shared" ca="1" si="5"/>
        <v>D:\DPL\ISA3\Example Implementations\NASA Tool Wear\01) N_studies_with_1_assay_each\Data_mill\Case_07\Sensor\smcAC\Case_07_time_run_01.csv</v>
      </c>
      <c r="F61" s="33" t="str">
        <f t="shared" ca="1" si="5"/>
        <v>D:\DPL\ISA3\Example Implementations\NASA Tool Wear\01) N_studies_with_1_assay_each\Data_mill\Case_07\Sensor\smcDC\Case_07_time_run_01.csv</v>
      </c>
      <c r="G61" s="33" t="str">
        <f t="shared" ca="1" si="5"/>
        <v>D:\DPL\ISA3\Example Implementations\NASA Tool Wear\01) N_studies_with_1_assay_each\Data_mill\Case_07\Sensor\AE_table\Case_07_time_run_01.csv</v>
      </c>
      <c r="H61" s="33" t="str">
        <f t="shared" ca="1" si="5"/>
        <v>D:\DPL\ISA3\Example Implementations\NASA Tool Wear\01) N_studies_with_1_assay_each\Data_mill\Case_07\Sensor\AE_spindle\Case_07_time_run_01.csv</v>
      </c>
      <c r="I61" s="33"/>
      <c r="J61" s="33"/>
      <c r="K61" s="33"/>
    </row>
    <row r="62" spans="1:58" s="24" customFormat="1" x14ac:dyDescent="0.3">
      <c r="A62" s="17" t="s">
        <v>77</v>
      </c>
      <c r="B62" s="17" t="s">
        <v>193</v>
      </c>
      <c r="C62" s="33" t="str">
        <f t="shared" ref="C62:H71" ca="1" si="6">"D:\DPL\ISA3\Example Implementations\NASA Tool Wear\01) N_studies_with_1_assay_each\Data_mill\Case_"&amp;_xlfn.TEXTAFTER($A62,"s")&amp;"\Sensor\"&amp;C$1&amp;"\Case_"&amp;_xlfn.TEXTAFTER($A62,"s")&amp;"_time_run_"&amp;_xlfn.TEXTAFTER($B62,"Run ")&amp;".csv"</f>
        <v>D:\DPL\ISA3\Example Implementations\NASA Tool Wear\01) N_studies_with_1_assay_each\Data_mill\Case_07\Sensor\vib_table\Case_07_time_run_02.csv</v>
      </c>
      <c r="D62" s="33" t="str">
        <f t="shared" ca="1" si="6"/>
        <v>D:\DPL\ISA3\Example Implementations\NASA Tool Wear\01) N_studies_with_1_assay_each\Data_mill\Case_07\Sensor\vib_spindle\Case_07_time_run_02.csv</v>
      </c>
      <c r="E62" s="33" t="str">
        <f t="shared" ca="1" si="6"/>
        <v>D:\DPL\ISA3\Example Implementations\NASA Tool Wear\01) N_studies_with_1_assay_each\Data_mill\Case_07\Sensor\smcAC\Case_07_time_run_02.csv</v>
      </c>
      <c r="F62" s="33" t="str">
        <f t="shared" ca="1" si="6"/>
        <v>D:\DPL\ISA3\Example Implementations\NASA Tool Wear\01) N_studies_with_1_assay_each\Data_mill\Case_07\Sensor\smcDC\Case_07_time_run_02.csv</v>
      </c>
      <c r="G62" s="33" t="str">
        <f t="shared" ca="1" si="6"/>
        <v>D:\DPL\ISA3\Example Implementations\NASA Tool Wear\01) N_studies_with_1_assay_each\Data_mill\Case_07\Sensor\AE_table\Case_07_time_run_02.csv</v>
      </c>
      <c r="H62" s="33" t="str">
        <f t="shared" ca="1" si="6"/>
        <v>D:\DPL\ISA3\Example Implementations\NASA Tool Wear\01) N_studies_with_1_assay_each\Data_mill\Case_07\Sensor\AE_spindle\Case_07_time_run_02.csv</v>
      </c>
      <c r="I62" s="33"/>
      <c r="J62" s="33"/>
      <c r="K62" s="33"/>
    </row>
    <row r="63" spans="1:58" s="24" customFormat="1" x14ac:dyDescent="0.3">
      <c r="A63" s="17" t="s">
        <v>77</v>
      </c>
      <c r="B63" s="17" t="s">
        <v>194</v>
      </c>
      <c r="C63" s="33" t="str">
        <f t="shared" ca="1" si="6"/>
        <v>D:\DPL\ISA3\Example Implementations\NASA Tool Wear\01) N_studies_with_1_assay_each\Data_mill\Case_07\Sensor\vib_table\Case_07_time_run_03.csv</v>
      </c>
      <c r="D63" s="33" t="str">
        <f t="shared" ca="1" si="6"/>
        <v>D:\DPL\ISA3\Example Implementations\NASA Tool Wear\01) N_studies_with_1_assay_each\Data_mill\Case_07\Sensor\vib_spindle\Case_07_time_run_03.csv</v>
      </c>
      <c r="E63" s="33" t="str">
        <f t="shared" ca="1" si="6"/>
        <v>D:\DPL\ISA3\Example Implementations\NASA Tool Wear\01) N_studies_with_1_assay_each\Data_mill\Case_07\Sensor\smcAC\Case_07_time_run_03.csv</v>
      </c>
      <c r="F63" s="33" t="str">
        <f t="shared" ca="1" si="6"/>
        <v>D:\DPL\ISA3\Example Implementations\NASA Tool Wear\01) N_studies_with_1_assay_each\Data_mill\Case_07\Sensor\smcDC\Case_07_time_run_03.csv</v>
      </c>
      <c r="G63" s="33" t="str">
        <f t="shared" ca="1" si="6"/>
        <v>D:\DPL\ISA3\Example Implementations\NASA Tool Wear\01) N_studies_with_1_assay_each\Data_mill\Case_07\Sensor\AE_table\Case_07_time_run_03.csv</v>
      </c>
      <c r="H63" s="33" t="str">
        <f t="shared" ca="1" si="6"/>
        <v>D:\DPL\ISA3\Example Implementations\NASA Tool Wear\01) N_studies_with_1_assay_each\Data_mill\Case_07\Sensor\AE_spindle\Case_07_time_run_03.csv</v>
      </c>
      <c r="I63" s="33"/>
      <c r="J63" s="33"/>
      <c r="K63" s="33"/>
    </row>
    <row r="64" spans="1:58" s="24" customFormat="1" x14ac:dyDescent="0.3">
      <c r="A64" s="17" t="s">
        <v>77</v>
      </c>
      <c r="B64" s="17" t="s">
        <v>195</v>
      </c>
      <c r="C64" s="33" t="str">
        <f t="shared" ca="1" si="6"/>
        <v>D:\DPL\ISA3\Example Implementations\NASA Tool Wear\01) N_studies_with_1_assay_each\Data_mill\Case_07\Sensor\vib_table\Case_07_time_run_04.csv</v>
      </c>
      <c r="D64" s="33" t="str">
        <f t="shared" ca="1" si="6"/>
        <v>D:\DPL\ISA3\Example Implementations\NASA Tool Wear\01) N_studies_with_1_assay_each\Data_mill\Case_07\Sensor\vib_spindle\Case_07_time_run_04.csv</v>
      </c>
      <c r="E64" s="33" t="str">
        <f t="shared" ca="1" si="6"/>
        <v>D:\DPL\ISA3\Example Implementations\NASA Tool Wear\01) N_studies_with_1_assay_each\Data_mill\Case_07\Sensor\smcAC\Case_07_time_run_04.csv</v>
      </c>
      <c r="F64" s="33" t="str">
        <f t="shared" ca="1" si="6"/>
        <v>D:\DPL\ISA3\Example Implementations\NASA Tool Wear\01) N_studies_with_1_assay_each\Data_mill\Case_07\Sensor\smcDC\Case_07_time_run_04.csv</v>
      </c>
      <c r="G64" s="33" t="str">
        <f t="shared" ca="1" si="6"/>
        <v>D:\DPL\ISA3\Example Implementations\NASA Tool Wear\01) N_studies_with_1_assay_each\Data_mill\Case_07\Sensor\AE_table\Case_07_time_run_04.csv</v>
      </c>
      <c r="H64" s="33" t="str">
        <f t="shared" ca="1" si="6"/>
        <v>D:\DPL\ISA3\Example Implementations\NASA Tool Wear\01) N_studies_with_1_assay_each\Data_mill\Case_07\Sensor\AE_spindle\Case_07_time_run_04.csv</v>
      </c>
      <c r="I64" s="33"/>
      <c r="J64" s="33"/>
      <c r="K64" s="33"/>
    </row>
    <row r="65" spans="1:11" s="24" customFormat="1" x14ac:dyDescent="0.3">
      <c r="A65" s="17" t="s">
        <v>77</v>
      </c>
      <c r="B65" s="17" t="s">
        <v>196</v>
      </c>
      <c r="C65" s="33" t="str">
        <f t="shared" ca="1" si="6"/>
        <v>D:\DPL\ISA3\Example Implementations\NASA Tool Wear\01) N_studies_with_1_assay_each\Data_mill\Case_07\Sensor\vib_table\Case_07_time_run_05.csv</v>
      </c>
      <c r="D65" s="33" t="str">
        <f t="shared" ca="1" si="6"/>
        <v>D:\DPL\ISA3\Example Implementations\NASA Tool Wear\01) N_studies_with_1_assay_each\Data_mill\Case_07\Sensor\vib_spindle\Case_07_time_run_05.csv</v>
      </c>
      <c r="E65" s="33" t="str">
        <f t="shared" ca="1" si="6"/>
        <v>D:\DPL\ISA3\Example Implementations\NASA Tool Wear\01) N_studies_with_1_assay_each\Data_mill\Case_07\Sensor\smcAC\Case_07_time_run_05.csv</v>
      </c>
      <c r="F65" s="33" t="str">
        <f t="shared" ca="1" si="6"/>
        <v>D:\DPL\ISA3\Example Implementations\NASA Tool Wear\01) N_studies_with_1_assay_each\Data_mill\Case_07\Sensor\smcDC\Case_07_time_run_05.csv</v>
      </c>
      <c r="G65" s="33" t="str">
        <f t="shared" ca="1" si="6"/>
        <v>D:\DPL\ISA3\Example Implementations\NASA Tool Wear\01) N_studies_with_1_assay_each\Data_mill\Case_07\Sensor\AE_table\Case_07_time_run_05.csv</v>
      </c>
      <c r="H65" s="33" t="str">
        <f t="shared" ca="1" si="6"/>
        <v>D:\DPL\ISA3\Example Implementations\NASA Tool Wear\01) N_studies_with_1_assay_each\Data_mill\Case_07\Sensor\AE_spindle\Case_07_time_run_05.csv</v>
      </c>
      <c r="I65" s="33"/>
      <c r="J65" s="33"/>
      <c r="K65" s="33"/>
    </row>
    <row r="66" spans="1:11" s="24" customFormat="1" x14ac:dyDescent="0.3">
      <c r="A66" s="17" t="s">
        <v>77</v>
      </c>
      <c r="B66" s="17" t="s">
        <v>197</v>
      </c>
      <c r="C66" s="33" t="str">
        <f t="shared" ca="1" si="6"/>
        <v>D:\DPL\ISA3\Example Implementations\NASA Tool Wear\01) N_studies_with_1_assay_each\Data_mill\Case_07\Sensor\vib_table\Case_07_time_run_06.csv</v>
      </c>
      <c r="D66" s="33" t="str">
        <f t="shared" ca="1" si="6"/>
        <v>D:\DPL\ISA3\Example Implementations\NASA Tool Wear\01) N_studies_with_1_assay_each\Data_mill\Case_07\Sensor\vib_spindle\Case_07_time_run_06.csv</v>
      </c>
      <c r="E66" s="33" t="str">
        <f t="shared" ca="1" si="6"/>
        <v>D:\DPL\ISA3\Example Implementations\NASA Tool Wear\01) N_studies_with_1_assay_each\Data_mill\Case_07\Sensor\smcAC\Case_07_time_run_06.csv</v>
      </c>
      <c r="F66" s="33" t="str">
        <f t="shared" ca="1" si="6"/>
        <v>D:\DPL\ISA3\Example Implementations\NASA Tool Wear\01) N_studies_with_1_assay_each\Data_mill\Case_07\Sensor\smcDC\Case_07_time_run_06.csv</v>
      </c>
      <c r="G66" s="33" t="str">
        <f t="shared" ca="1" si="6"/>
        <v>D:\DPL\ISA3\Example Implementations\NASA Tool Wear\01) N_studies_with_1_assay_each\Data_mill\Case_07\Sensor\AE_table\Case_07_time_run_06.csv</v>
      </c>
      <c r="H66" s="33" t="str">
        <f t="shared" ca="1" si="6"/>
        <v>D:\DPL\ISA3\Example Implementations\NASA Tool Wear\01) N_studies_with_1_assay_each\Data_mill\Case_07\Sensor\AE_spindle\Case_07_time_run_06.csv</v>
      </c>
      <c r="I66" s="33"/>
      <c r="J66" s="33"/>
      <c r="K66" s="33"/>
    </row>
    <row r="67" spans="1:11" s="24" customFormat="1" x14ac:dyDescent="0.3">
      <c r="A67" s="17" t="s">
        <v>77</v>
      </c>
      <c r="B67" s="17" t="s">
        <v>198</v>
      </c>
      <c r="C67" s="33" t="str">
        <f t="shared" ca="1" si="6"/>
        <v>D:\DPL\ISA3\Example Implementations\NASA Tool Wear\01) N_studies_with_1_assay_each\Data_mill\Case_07\Sensor\vib_table\Case_07_time_run_07.csv</v>
      </c>
      <c r="D67" s="33" t="str">
        <f t="shared" ca="1" si="6"/>
        <v>D:\DPL\ISA3\Example Implementations\NASA Tool Wear\01) N_studies_with_1_assay_each\Data_mill\Case_07\Sensor\vib_spindle\Case_07_time_run_07.csv</v>
      </c>
      <c r="E67" s="33" t="str">
        <f t="shared" ca="1" si="6"/>
        <v>D:\DPL\ISA3\Example Implementations\NASA Tool Wear\01) N_studies_with_1_assay_each\Data_mill\Case_07\Sensor\smcAC\Case_07_time_run_07.csv</v>
      </c>
      <c r="F67" s="33" t="str">
        <f t="shared" ca="1" si="6"/>
        <v>D:\DPL\ISA3\Example Implementations\NASA Tool Wear\01) N_studies_with_1_assay_each\Data_mill\Case_07\Sensor\smcDC\Case_07_time_run_07.csv</v>
      </c>
      <c r="G67" s="33" t="str">
        <f t="shared" ca="1" si="6"/>
        <v>D:\DPL\ISA3\Example Implementations\NASA Tool Wear\01) N_studies_with_1_assay_each\Data_mill\Case_07\Sensor\AE_table\Case_07_time_run_07.csv</v>
      </c>
      <c r="H67" s="33" t="str">
        <f t="shared" ca="1" si="6"/>
        <v>D:\DPL\ISA3\Example Implementations\NASA Tool Wear\01) N_studies_with_1_assay_each\Data_mill\Case_07\Sensor\AE_spindle\Case_07_time_run_07.csv</v>
      </c>
      <c r="I67" s="33"/>
      <c r="J67" s="33"/>
      <c r="K67" s="33"/>
    </row>
    <row r="68" spans="1:11" s="21" customFormat="1" x14ac:dyDescent="0.3">
      <c r="A68" s="57" t="s">
        <v>77</v>
      </c>
      <c r="B68" s="57" t="s">
        <v>199</v>
      </c>
      <c r="C68" s="63" t="str">
        <f t="shared" ca="1" si="6"/>
        <v>D:\DPL\ISA3\Example Implementations\NASA Tool Wear\01) N_studies_with_1_assay_each\Data_mill\Case_07\Sensor\vib_table\Case_07_time_run_08.csv</v>
      </c>
      <c r="D68" s="63" t="str">
        <f t="shared" ca="1" si="6"/>
        <v>D:\DPL\ISA3\Example Implementations\NASA Tool Wear\01) N_studies_with_1_assay_each\Data_mill\Case_07\Sensor\vib_spindle\Case_07_time_run_08.csv</v>
      </c>
      <c r="E68" s="63" t="str">
        <f t="shared" ca="1" si="6"/>
        <v>D:\DPL\ISA3\Example Implementations\NASA Tool Wear\01) N_studies_with_1_assay_each\Data_mill\Case_07\Sensor\smcAC\Case_07_time_run_08.csv</v>
      </c>
      <c r="F68" s="63" t="str">
        <f t="shared" ca="1" si="6"/>
        <v>D:\DPL\ISA3\Example Implementations\NASA Tool Wear\01) N_studies_with_1_assay_each\Data_mill\Case_07\Sensor\smcDC\Case_07_time_run_08.csv</v>
      </c>
      <c r="G68" s="63" t="str">
        <f t="shared" ca="1" si="6"/>
        <v>D:\DPL\ISA3\Example Implementations\NASA Tool Wear\01) N_studies_with_1_assay_each\Data_mill\Case_07\Sensor\AE_table\Case_07_time_run_08.csv</v>
      </c>
      <c r="H68" s="63" t="str">
        <f t="shared" ca="1" si="6"/>
        <v>D:\DPL\ISA3\Example Implementations\NASA Tool Wear\01) N_studies_with_1_assay_each\Data_mill\Case_07\Sensor\AE_spindle\Case_07_time_run_08.csv</v>
      </c>
      <c r="I68" s="63"/>
      <c r="J68" s="63"/>
      <c r="K68" s="63"/>
    </row>
    <row r="69" spans="1:11" s="24" customFormat="1" x14ac:dyDescent="0.3">
      <c r="A69" s="17" t="s">
        <v>78</v>
      </c>
      <c r="B69" s="17" t="s">
        <v>192</v>
      </c>
      <c r="C69" s="33" t="str">
        <f t="shared" ca="1" si="6"/>
        <v>D:\DPL\ISA3\Example Implementations\NASA Tool Wear\01) N_studies_with_1_assay_each\Data_mill\Case_08\Sensor\vib_table\Case_08_time_run_01.csv</v>
      </c>
      <c r="D69" s="33" t="str">
        <f t="shared" ca="1" si="6"/>
        <v>D:\DPL\ISA3\Example Implementations\NASA Tool Wear\01) N_studies_with_1_assay_each\Data_mill\Case_08\Sensor\vib_spindle\Case_08_time_run_01.csv</v>
      </c>
      <c r="E69" s="33" t="str">
        <f t="shared" ca="1" si="6"/>
        <v>D:\DPL\ISA3\Example Implementations\NASA Tool Wear\01) N_studies_with_1_assay_each\Data_mill\Case_08\Sensor\smcAC\Case_08_time_run_01.csv</v>
      </c>
      <c r="F69" s="33" t="str">
        <f t="shared" ca="1" si="6"/>
        <v>D:\DPL\ISA3\Example Implementations\NASA Tool Wear\01) N_studies_with_1_assay_each\Data_mill\Case_08\Sensor\smcDC\Case_08_time_run_01.csv</v>
      </c>
      <c r="G69" s="33" t="str">
        <f t="shared" ca="1" si="6"/>
        <v>D:\DPL\ISA3\Example Implementations\NASA Tool Wear\01) N_studies_with_1_assay_each\Data_mill\Case_08\Sensor\AE_table\Case_08_time_run_01.csv</v>
      </c>
      <c r="H69" s="33" t="str">
        <f t="shared" ca="1" si="6"/>
        <v>D:\DPL\ISA3\Example Implementations\NASA Tool Wear\01) N_studies_with_1_assay_each\Data_mill\Case_08\Sensor\AE_spindle\Case_08_time_run_01.csv</v>
      </c>
      <c r="I69" s="33"/>
      <c r="J69" s="33"/>
      <c r="K69" s="33"/>
    </row>
    <row r="70" spans="1:11" s="24" customFormat="1" x14ac:dyDescent="0.3">
      <c r="A70" s="17" t="s">
        <v>78</v>
      </c>
      <c r="B70" s="17" t="s">
        <v>193</v>
      </c>
      <c r="C70" s="33" t="str">
        <f t="shared" ca="1" si="6"/>
        <v>D:\DPL\ISA3\Example Implementations\NASA Tool Wear\01) N_studies_with_1_assay_each\Data_mill\Case_08\Sensor\vib_table\Case_08_time_run_02.csv</v>
      </c>
      <c r="D70" s="33" t="str">
        <f t="shared" ca="1" si="6"/>
        <v>D:\DPL\ISA3\Example Implementations\NASA Tool Wear\01) N_studies_with_1_assay_each\Data_mill\Case_08\Sensor\vib_spindle\Case_08_time_run_02.csv</v>
      </c>
      <c r="E70" s="33" t="str">
        <f t="shared" ca="1" si="6"/>
        <v>D:\DPL\ISA3\Example Implementations\NASA Tool Wear\01) N_studies_with_1_assay_each\Data_mill\Case_08\Sensor\smcAC\Case_08_time_run_02.csv</v>
      </c>
      <c r="F70" s="33" t="str">
        <f t="shared" ca="1" si="6"/>
        <v>D:\DPL\ISA3\Example Implementations\NASA Tool Wear\01) N_studies_with_1_assay_each\Data_mill\Case_08\Sensor\smcDC\Case_08_time_run_02.csv</v>
      </c>
      <c r="G70" s="33" t="str">
        <f t="shared" ca="1" si="6"/>
        <v>D:\DPL\ISA3\Example Implementations\NASA Tool Wear\01) N_studies_with_1_assay_each\Data_mill\Case_08\Sensor\AE_table\Case_08_time_run_02.csv</v>
      </c>
      <c r="H70" s="33" t="str">
        <f t="shared" ca="1" si="6"/>
        <v>D:\DPL\ISA3\Example Implementations\NASA Tool Wear\01) N_studies_with_1_assay_each\Data_mill\Case_08\Sensor\AE_spindle\Case_08_time_run_02.csv</v>
      </c>
      <c r="I70" s="33"/>
      <c r="J70" s="33"/>
      <c r="K70" s="33"/>
    </row>
    <row r="71" spans="1:11" s="24" customFormat="1" x14ac:dyDescent="0.3">
      <c r="A71" s="17" t="s">
        <v>78</v>
      </c>
      <c r="B71" s="17" t="s">
        <v>194</v>
      </c>
      <c r="C71" s="33" t="str">
        <f t="shared" ca="1" si="6"/>
        <v>D:\DPL\ISA3\Example Implementations\NASA Tool Wear\01) N_studies_with_1_assay_each\Data_mill\Case_08\Sensor\vib_table\Case_08_time_run_03.csv</v>
      </c>
      <c r="D71" s="33" t="str">
        <f t="shared" ca="1" si="6"/>
        <v>D:\DPL\ISA3\Example Implementations\NASA Tool Wear\01) N_studies_with_1_assay_each\Data_mill\Case_08\Sensor\vib_spindle\Case_08_time_run_03.csv</v>
      </c>
      <c r="E71" s="33" t="str">
        <f t="shared" ca="1" si="6"/>
        <v>D:\DPL\ISA3\Example Implementations\NASA Tool Wear\01) N_studies_with_1_assay_each\Data_mill\Case_08\Sensor\smcAC\Case_08_time_run_03.csv</v>
      </c>
      <c r="F71" s="33" t="str">
        <f t="shared" ca="1" si="6"/>
        <v>D:\DPL\ISA3\Example Implementations\NASA Tool Wear\01) N_studies_with_1_assay_each\Data_mill\Case_08\Sensor\smcDC\Case_08_time_run_03.csv</v>
      </c>
      <c r="G71" s="33" t="str">
        <f t="shared" ca="1" si="6"/>
        <v>D:\DPL\ISA3\Example Implementations\NASA Tool Wear\01) N_studies_with_1_assay_each\Data_mill\Case_08\Sensor\AE_table\Case_08_time_run_03.csv</v>
      </c>
      <c r="H71" s="33" t="str">
        <f t="shared" ca="1" si="6"/>
        <v>D:\DPL\ISA3\Example Implementations\NASA Tool Wear\01) N_studies_with_1_assay_each\Data_mill\Case_08\Sensor\AE_spindle\Case_08_time_run_03.csv</v>
      </c>
      <c r="I71" s="33"/>
      <c r="J71" s="33"/>
      <c r="K71" s="33"/>
    </row>
    <row r="72" spans="1:11" s="24" customFormat="1" x14ac:dyDescent="0.3">
      <c r="A72" s="17" t="s">
        <v>78</v>
      </c>
      <c r="B72" s="17" t="s">
        <v>195</v>
      </c>
      <c r="C72" s="33" t="str">
        <f t="shared" ref="C72:H81" ca="1" si="7">"D:\DPL\ISA3\Example Implementations\NASA Tool Wear\01) N_studies_with_1_assay_each\Data_mill\Case_"&amp;_xlfn.TEXTAFTER($A72,"s")&amp;"\Sensor\"&amp;C$1&amp;"\Case_"&amp;_xlfn.TEXTAFTER($A72,"s")&amp;"_time_run_"&amp;_xlfn.TEXTAFTER($B72,"Run ")&amp;".csv"</f>
        <v>D:\DPL\ISA3\Example Implementations\NASA Tool Wear\01) N_studies_with_1_assay_each\Data_mill\Case_08\Sensor\vib_table\Case_08_time_run_04.csv</v>
      </c>
      <c r="D72" s="33" t="str">
        <f t="shared" ca="1" si="7"/>
        <v>D:\DPL\ISA3\Example Implementations\NASA Tool Wear\01) N_studies_with_1_assay_each\Data_mill\Case_08\Sensor\vib_spindle\Case_08_time_run_04.csv</v>
      </c>
      <c r="E72" s="33" t="str">
        <f t="shared" ca="1" si="7"/>
        <v>D:\DPL\ISA3\Example Implementations\NASA Tool Wear\01) N_studies_with_1_assay_each\Data_mill\Case_08\Sensor\smcAC\Case_08_time_run_04.csv</v>
      </c>
      <c r="F72" s="33" t="str">
        <f t="shared" ca="1" si="7"/>
        <v>D:\DPL\ISA3\Example Implementations\NASA Tool Wear\01) N_studies_with_1_assay_each\Data_mill\Case_08\Sensor\smcDC\Case_08_time_run_04.csv</v>
      </c>
      <c r="G72" s="33" t="str">
        <f t="shared" ca="1" si="7"/>
        <v>D:\DPL\ISA3\Example Implementations\NASA Tool Wear\01) N_studies_with_1_assay_each\Data_mill\Case_08\Sensor\AE_table\Case_08_time_run_04.csv</v>
      </c>
      <c r="H72" s="33" t="str">
        <f t="shared" ca="1" si="7"/>
        <v>D:\DPL\ISA3\Example Implementations\NASA Tool Wear\01) N_studies_with_1_assay_each\Data_mill\Case_08\Sensor\AE_spindle\Case_08_time_run_04.csv</v>
      </c>
      <c r="I72" s="33"/>
      <c r="J72" s="33"/>
      <c r="K72" s="33"/>
    </row>
    <row r="73" spans="1:11" s="24" customFormat="1" x14ac:dyDescent="0.3">
      <c r="A73" s="17" t="s">
        <v>78</v>
      </c>
      <c r="B73" s="17" t="s">
        <v>196</v>
      </c>
      <c r="C73" s="33" t="str">
        <f t="shared" ca="1" si="7"/>
        <v>D:\DPL\ISA3\Example Implementations\NASA Tool Wear\01) N_studies_with_1_assay_each\Data_mill\Case_08\Sensor\vib_table\Case_08_time_run_05.csv</v>
      </c>
      <c r="D73" s="33" t="str">
        <f t="shared" ca="1" si="7"/>
        <v>D:\DPL\ISA3\Example Implementations\NASA Tool Wear\01) N_studies_with_1_assay_each\Data_mill\Case_08\Sensor\vib_spindle\Case_08_time_run_05.csv</v>
      </c>
      <c r="E73" s="33" t="str">
        <f t="shared" ca="1" si="7"/>
        <v>D:\DPL\ISA3\Example Implementations\NASA Tool Wear\01) N_studies_with_1_assay_each\Data_mill\Case_08\Sensor\smcAC\Case_08_time_run_05.csv</v>
      </c>
      <c r="F73" s="33" t="str">
        <f t="shared" ca="1" si="7"/>
        <v>D:\DPL\ISA3\Example Implementations\NASA Tool Wear\01) N_studies_with_1_assay_each\Data_mill\Case_08\Sensor\smcDC\Case_08_time_run_05.csv</v>
      </c>
      <c r="G73" s="33" t="str">
        <f t="shared" ca="1" si="7"/>
        <v>D:\DPL\ISA3\Example Implementations\NASA Tool Wear\01) N_studies_with_1_assay_each\Data_mill\Case_08\Sensor\AE_table\Case_08_time_run_05.csv</v>
      </c>
      <c r="H73" s="33" t="str">
        <f t="shared" ca="1" si="7"/>
        <v>D:\DPL\ISA3\Example Implementations\NASA Tool Wear\01) N_studies_with_1_assay_each\Data_mill\Case_08\Sensor\AE_spindle\Case_08_time_run_05.csv</v>
      </c>
      <c r="I73" s="33"/>
      <c r="J73" s="33"/>
      <c r="K73" s="33"/>
    </row>
    <row r="74" spans="1:11" s="21" customFormat="1" x14ac:dyDescent="0.3">
      <c r="A74" s="57" t="s">
        <v>78</v>
      </c>
      <c r="B74" s="57" t="s">
        <v>197</v>
      </c>
      <c r="C74" s="63" t="str">
        <f t="shared" ca="1" si="7"/>
        <v>D:\DPL\ISA3\Example Implementations\NASA Tool Wear\01) N_studies_with_1_assay_each\Data_mill\Case_08\Sensor\vib_table\Case_08_time_run_06.csv</v>
      </c>
      <c r="D74" s="63" t="str">
        <f t="shared" ca="1" si="7"/>
        <v>D:\DPL\ISA3\Example Implementations\NASA Tool Wear\01) N_studies_with_1_assay_each\Data_mill\Case_08\Sensor\vib_spindle\Case_08_time_run_06.csv</v>
      </c>
      <c r="E74" s="63" t="str">
        <f t="shared" ca="1" si="7"/>
        <v>D:\DPL\ISA3\Example Implementations\NASA Tool Wear\01) N_studies_with_1_assay_each\Data_mill\Case_08\Sensor\smcAC\Case_08_time_run_06.csv</v>
      </c>
      <c r="F74" s="63" t="str">
        <f t="shared" ca="1" si="7"/>
        <v>D:\DPL\ISA3\Example Implementations\NASA Tool Wear\01) N_studies_with_1_assay_each\Data_mill\Case_08\Sensor\smcDC\Case_08_time_run_06.csv</v>
      </c>
      <c r="G74" s="63" t="str">
        <f t="shared" ca="1" si="7"/>
        <v>D:\DPL\ISA3\Example Implementations\NASA Tool Wear\01) N_studies_with_1_assay_each\Data_mill\Case_08\Sensor\AE_table\Case_08_time_run_06.csv</v>
      </c>
      <c r="H74" s="63" t="str">
        <f t="shared" ca="1" si="7"/>
        <v>D:\DPL\ISA3\Example Implementations\NASA Tool Wear\01) N_studies_with_1_assay_each\Data_mill\Case_08\Sensor\AE_spindle\Case_08_time_run_06.csv</v>
      </c>
      <c r="I74" s="63"/>
      <c r="J74" s="63"/>
      <c r="K74" s="63"/>
    </row>
    <row r="75" spans="1:11" s="24" customFormat="1" x14ac:dyDescent="0.3">
      <c r="A75" s="17" t="s">
        <v>79</v>
      </c>
      <c r="B75" s="17" t="s">
        <v>192</v>
      </c>
      <c r="C75" s="33" t="str">
        <f t="shared" ca="1" si="7"/>
        <v>D:\DPL\ISA3\Example Implementations\NASA Tool Wear\01) N_studies_with_1_assay_each\Data_mill\Case_09\Sensor\vib_table\Case_09_time_run_01.csv</v>
      </c>
      <c r="D75" s="33" t="str">
        <f t="shared" ca="1" si="7"/>
        <v>D:\DPL\ISA3\Example Implementations\NASA Tool Wear\01) N_studies_with_1_assay_each\Data_mill\Case_09\Sensor\vib_spindle\Case_09_time_run_01.csv</v>
      </c>
      <c r="E75" s="33" t="str">
        <f t="shared" ca="1" si="7"/>
        <v>D:\DPL\ISA3\Example Implementations\NASA Tool Wear\01) N_studies_with_1_assay_each\Data_mill\Case_09\Sensor\smcAC\Case_09_time_run_01.csv</v>
      </c>
      <c r="F75" s="33" t="str">
        <f t="shared" ca="1" si="7"/>
        <v>D:\DPL\ISA3\Example Implementations\NASA Tool Wear\01) N_studies_with_1_assay_each\Data_mill\Case_09\Sensor\smcDC\Case_09_time_run_01.csv</v>
      </c>
      <c r="G75" s="33" t="str">
        <f t="shared" ca="1" si="7"/>
        <v>D:\DPL\ISA3\Example Implementations\NASA Tool Wear\01) N_studies_with_1_assay_each\Data_mill\Case_09\Sensor\AE_table\Case_09_time_run_01.csv</v>
      </c>
      <c r="H75" s="33" t="str">
        <f t="shared" ca="1" si="7"/>
        <v>D:\DPL\ISA3\Example Implementations\NASA Tool Wear\01) N_studies_with_1_assay_each\Data_mill\Case_09\Sensor\AE_spindle\Case_09_time_run_01.csv</v>
      </c>
      <c r="I75" s="33"/>
      <c r="J75" s="33"/>
      <c r="K75" s="33"/>
    </row>
    <row r="76" spans="1:11" s="24" customFormat="1" x14ac:dyDescent="0.3">
      <c r="A76" s="17" t="s">
        <v>79</v>
      </c>
      <c r="B76" s="17" t="s">
        <v>193</v>
      </c>
      <c r="C76" s="33" t="str">
        <f t="shared" ca="1" si="7"/>
        <v>D:\DPL\ISA3\Example Implementations\NASA Tool Wear\01) N_studies_with_1_assay_each\Data_mill\Case_09\Sensor\vib_table\Case_09_time_run_02.csv</v>
      </c>
      <c r="D76" s="33" t="str">
        <f t="shared" ca="1" si="7"/>
        <v>D:\DPL\ISA3\Example Implementations\NASA Tool Wear\01) N_studies_with_1_assay_each\Data_mill\Case_09\Sensor\vib_spindle\Case_09_time_run_02.csv</v>
      </c>
      <c r="E76" s="33" t="str">
        <f t="shared" ca="1" si="7"/>
        <v>D:\DPL\ISA3\Example Implementations\NASA Tool Wear\01) N_studies_with_1_assay_each\Data_mill\Case_09\Sensor\smcAC\Case_09_time_run_02.csv</v>
      </c>
      <c r="F76" s="33" t="str">
        <f t="shared" ca="1" si="7"/>
        <v>D:\DPL\ISA3\Example Implementations\NASA Tool Wear\01) N_studies_with_1_assay_each\Data_mill\Case_09\Sensor\smcDC\Case_09_time_run_02.csv</v>
      </c>
      <c r="G76" s="33" t="str">
        <f t="shared" ca="1" si="7"/>
        <v>D:\DPL\ISA3\Example Implementations\NASA Tool Wear\01) N_studies_with_1_assay_each\Data_mill\Case_09\Sensor\AE_table\Case_09_time_run_02.csv</v>
      </c>
      <c r="H76" s="33" t="str">
        <f t="shared" ca="1" si="7"/>
        <v>D:\DPL\ISA3\Example Implementations\NASA Tool Wear\01) N_studies_with_1_assay_each\Data_mill\Case_09\Sensor\AE_spindle\Case_09_time_run_02.csv</v>
      </c>
      <c r="I76" s="33"/>
      <c r="J76" s="33"/>
      <c r="K76" s="33"/>
    </row>
    <row r="77" spans="1:11" s="24" customFormat="1" x14ac:dyDescent="0.3">
      <c r="A77" s="17" t="s">
        <v>79</v>
      </c>
      <c r="B77" s="17" t="s">
        <v>194</v>
      </c>
      <c r="C77" s="33" t="str">
        <f t="shared" ca="1" si="7"/>
        <v>D:\DPL\ISA3\Example Implementations\NASA Tool Wear\01) N_studies_with_1_assay_each\Data_mill\Case_09\Sensor\vib_table\Case_09_time_run_03.csv</v>
      </c>
      <c r="D77" s="33" t="str">
        <f t="shared" ca="1" si="7"/>
        <v>D:\DPL\ISA3\Example Implementations\NASA Tool Wear\01) N_studies_with_1_assay_each\Data_mill\Case_09\Sensor\vib_spindle\Case_09_time_run_03.csv</v>
      </c>
      <c r="E77" s="33" t="str">
        <f t="shared" ca="1" si="7"/>
        <v>D:\DPL\ISA3\Example Implementations\NASA Tool Wear\01) N_studies_with_1_assay_each\Data_mill\Case_09\Sensor\smcAC\Case_09_time_run_03.csv</v>
      </c>
      <c r="F77" s="33" t="str">
        <f t="shared" ca="1" si="7"/>
        <v>D:\DPL\ISA3\Example Implementations\NASA Tool Wear\01) N_studies_with_1_assay_each\Data_mill\Case_09\Sensor\smcDC\Case_09_time_run_03.csv</v>
      </c>
      <c r="G77" s="33" t="str">
        <f t="shared" ca="1" si="7"/>
        <v>D:\DPL\ISA3\Example Implementations\NASA Tool Wear\01) N_studies_with_1_assay_each\Data_mill\Case_09\Sensor\AE_table\Case_09_time_run_03.csv</v>
      </c>
      <c r="H77" s="33" t="str">
        <f t="shared" ca="1" si="7"/>
        <v>D:\DPL\ISA3\Example Implementations\NASA Tool Wear\01) N_studies_with_1_assay_each\Data_mill\Case_09\Sensor\AE_spindle\Case_09_time_run_03.csv</v>
      </c>
      <c r="I77" s="33"/>
      <c r="J77" s="33"/>
      <c r="K77" s="33"/>
    </row>
    <row r="78" spans="1:11" s="24" customFormat="1" x14ac:dyDescent="0.3">
      <c r="A78" s="17" t="s">
        <v>79</v>
      </c>
      <c r="B78" s="17" t="s">
        <v>195</v>
      </c>
      <c r="C78" s="33" t="str">
        <f t="shared" ca="1" si="7"/>
        <v>D:\DPL\ISA3\Example Implementations\NASA Tool Wear\01) N_studies_with_1_assay_each\Data_mill\Case_09\Sensor\vib_table\Case_09_time_run_04.csv</v>
      </c>
      <c r="D78" s="33" t="str">
        <f t="shared" ca="1" si="7"/>
        <v>D:\DPL\ISA3\Example Implementations\NASA Tool Wear\01) N_studies_with_1_assay_each\Data_mill\Case_09\Sensor\vib_spindle\Case_09_time_run_04.csv</v>
      </c>
      <c r="E78" s="33" t="str">
        <f t="shared" ca="1" si="7"/>
        <v>D:\DPL\ISA3\Example Implementations\NASA Tool Wear\01) N_studies_with_1_assay_each\Data_mill\Case_09\Sensor\smcAC\Case_09_time_run_04.csv</v>
      </c>
      <c r="F78" s="33" t="str">
        <f t="shared" ca="1" si="7"/>
        <v>D:\DPL\ISA3\Example Implementations\NASA Tool Wear\01) N_studies_with_1_assay_each\Data_mill\Case_09\Sensor\smcDC\Case_09_time_run_04.csv</v>
      </c>
      <c r="G78" s="33" t="str">
        <f t="shared" ca="1" si="7"/>
        <v>D:\DPL\ISA3\Example Implementations\NASA Tool Wear\01) N_studies_with_1_assay_each\Data_mill\Case_09\Sensor\AE_table\Case_09_time_run_04.csv</v>
      </c>
      <c r="H78" s="33" t="str">
        <f t="shared" ca="1" si="7"/>
        <v>D:\DPL\ISA3\Example Implementations\NASA Tool Wear\01) N_studies_with_1_assay_each\Data_mill\Case_09\Sensor\AE_spindle\Case_09_time_run_04.csv</v>
      </c>
      <c r="I78" s="33"/>
      <c r="J78" s="33"/>
      <c r="K78" s="33"/>
    </row>
    <row r="79" spans="1:11" s="24" customFormat="1" x14ac:dyDescent="0.3">
      <c r="A79" s="17" t="s">
        <v>79</v>
      </c>
      <c r="B79" s="17" t="s">
        <v>196</v>
      </c>
      <c r="C79" s="33" t="str">
        <f t="shared" ca="1" si="7"/>
        <v>D:\DPL\ISA3\Example Implementations\NASA Tool Wear\01) N_studies_with_1_assay_each\Data_mill\Case_09\Sensor\vib_table\Case_09_time_run_05.csv</v>
      </c>
      <c r="D79" s="33" t="str">
        <f t="shared" ca="1" si="7"/>
        <v>D:\DPL\ISA3\Example Implementations\NASA Tool Wear\01) N_studies_with_1_assay_each\Data_mill\Case_09\Sensor\vib_spindle\Case_09_time_run_05.csv</v>
      </c>
      <c r="E79" s="33" t="str">
        <f t="shared" ca="1" si="7"/>
        <v>D:\DPL\ISA3\Example Implementations\NASA Tool Wear\01) N_studies_with_1_assay_each\Data_mill\Case_09\Sensor\smcAC\Case_09_time_run_05.csv</v>
      </c>
      <c r="F79" s="33" t="str">
        <f t="shared" ca="1" si="7"/>
        <v>D:\DPL\ISA3\Example Implementations\NASA Tool Wear\01) N_studies_with_1_assay_each\Data_mill\Case_09\Sensor\smcDC\Case_09_time_run_05.csv</v>
      </c>
      <c r="G79" s="33" t="str">
        <f t="shared" ca="1" si="7"/>
        <v>D:\DPL\ISA3\Example Implementations\NASA Tool Wear\01) N_studies_with_1_assay_each\Data_mill\Case_09\Sensor\AE_table\Case_09_time_run_05.csv</v>
      </c>
      <c r="H79" s="33" t="str">
        <f t="shared" ca="1" si="7"/>
        <v>D:\DPL\ISA3\Example Implementations\NASA Tool Wear\01) N_studies_with_1_assay_each\Data_mill\Case_09\Sensor\AE_spindle\Case_09_time_run_05.csv</v>
      </c>
      <c r="I79" s="33"/>
      <c r="J79" s="33"/>
      <c r="K79" s="33"/>
    </row>
    <row r="80" spans="1:11" s="24" customFormat="1" x14ac:dyDescent="0.3">
      <c r="A80" s="17" t="s">
        <v>79</v>
      </c>
      <c r="B80" s="17" t="s">
        <v>197</v>
      </c>
      <c r="C80" s="33" t="str">
        <f t="shared" ca="1" si="7"/>
        <v>D:\DPL\ISA3\Example Implementations\NASA Tool Wear\01) N_studies_with_1_assay_each\Data_mill\Case_09\Sensor\vib_table\Case_09_time_run_06.csv</v>
      </c>
      <c r="D80" s="33" t="str">
        <f t="shared" ca="1" si="7"/>
        <v>D:\DPL\ISA3\Example Implementations\NASA Tool Wear\01) N_studies_with_1_assay_each\Data_mill\Case_09\Sensor\vib_spindle\Case_09_time_run_06.csv</v>
      </c>
      <c r="E80" s="33" t="str">
        <f t="shared" ca="1" si="7"/>
        <v>D:\DPL\ISA3\Example Implementations\NASA Tool Wear\01) N_studies_with_1_assay_each\Data_mill\Case_09\Sensor\smcAC\Case_09_time_run_06.csv</v>
      </c>
      <c r="F80" s="33" t="str">
        <f t="shared" ca="1" si="7"/>
        <v>D:\DPL\ISA3\Example Implementations\NASA Tool Wear\01) N_studies_with_1_assay_each\Data_mill\Case_09\Sensor\smcDC\Case_09_time_run_06.csv</v>
      </c>
      <c r="G80" s="33" t="str">
        <f t="shared" ca="1" si="7"/>
        <v>D:\DPL\ISA3\Example Implementations\NASA Tool Wear\01) N_studies_with_1_assay_each\Data_mill\Case_09\Sensor\AE_table\Case_09_time_run_06.csv</v>
      </c>
      <c r="H80" s="33" t="str">
        <f t="shared" ca="1" si="7"/>
        <v>D:\DPL\ISA3\Example Implementations\NASA Tool Wear\01) N_studies_with_1_assay_each\Data_mill\Case_09\Sensor\AE_spindle\Case_09_time_run_06.csv</v>
      </c>
      <c r="I80" s="33"/>
      <c r="J80" s="33"/>
      <c r="K80" s="33"/>
    </row>
    <row r="81" spans="1:11" s="24" customFormat="1" x14ac:dyDescent="0.3">
      <c r="A81" s="17" t="s">
        <v>79</v>
      </c>
      <c r="B81" s="17" t="s">
        <v>198</v>
      </c>
      <c r="C81" s="33" t="str">
        <f t="shared" ca="1" si="7"/>
        <v>D:\DPL\ISA3\Example Implementations\NASA Tool Wear\01) N_studies_with_1_assay_each\Data_mill\Case_09\Sensor\vib_table\Case_09_time_run_07.csv</v>
      </c>
      <c r="D81" s="33" t="str">
        <f t="shared" ca="1" si="7"/>
        <v>D:\DPL\ISA3\Example Implementations\NASA Tool Wear\01) N_studies_with_1_assay_each\Data_mill\Case_09\Sensor\vib_spindle\Case_09_time_run_07.csv</v>
      </c>
      <c r="E81" s="33" t="str">
        <f t="shared" ca="1" si="7"/>
        <v>D:\DPL\ISA3\Example Implementations\NASA Tool Wear\01) N_studies_with_1_assay_each\Data_mill\Case_09\Sensor\smcAC\Case_09_time_run_07.csv</v>
      </c>
      <c r="F81" s="33" t="str">
        <f t="shared" ca="1" si="7"/>
        <v>D:\DPL\ISA3\Example Implementations\NASA Tool Wear\01) N_studies_with_1_assay_each\Data_mill\Case_09\Sensor\smcDC\Case_09_time_run_07.csv</v>
      </c>
      <c r="G81" s="33" t="str">
        <f t="shared" ca="1" si="7"/>
        <v>D:\DPL\ISA3\Example Implementations\NASA Tool Wear\01) N_studies_with_1_assay_each\Data_mill\Case_09\Sensor\AE_table\Case_09_time_run_07.csv</v>
      </c>
      <c r="H81" s="33" t="str">
        <f t="shared" ca="1" si="7"/>
        <v>D:\DPL\ISA3\Example Implementations\NASA Tool Wear\01) N_studies_with_1_assay_each\Data_mill\Case_09\Sensor\AE_spindle\Case_09_time_run_07.csv</v>
      </c>
      <c r="I81" s="33"/>
      <c r="J81" s="33"/>
      <c r="K81" s="33"/>
    </row>
    <row r="82" spans="1:11" s="24" customFormat="1" x14ac:dyDescent="0.3">
      <c r="A82" s="17" t="s">
        <v>79</v>
      </c>
      <c r="B82" s="17" t="s">
        <v>199</v>
      </c>
      <c r="C82" s="33" t="str">
        <f t="shared" ref="C82:H91" ca="1" si="8">"D:\DPL\ISA3\Example Implementations\NASA Tool Wear\01) N_studies_with_1_assay_each\Data_mill\Case_"&amp;_xlfn.TEXTAFTER($A82,"s")&amp;"\Sensor\"&amp;C$1&amp;"\Case_"&amp;_xlfn.TEXTAFTER($A82,"s")&amp;"_time_run_"&amp;_xlfn.TEXTAFTER($B82,"Run ")&amp;".csv"</f>
        <v>D:\DPL\ISA3\Example Implementations\NASA Tool Wear\01) N_studies_with_1_assay_each\Data_mill\Case_09\Sensor\vib_table\Case_09_time_run_08.csv</v>
      </c>
      <c r="D82" s="33" t="str">
        <f t="shared" ca="1" si="8"/>
        <v>D:\DPL\ISA3\Example Implementations\NASA Tool Wear\01) N_studies_with_1_assay_each\Data_mill\Case_09\Sensor\vib_spindle\Case_09_time_run_08.csv</v>
      </c>
      <c r="E82" s="33" t="str">
        <f t="shared" ca="1" si="8"/>
        <v>D:\DPL\ISA3\Example Implementations\NASA Tool Wear\01) N_studies_with_1_assay_each\Data_mill\Case_09\Sensor\smcAC\Case_09_time_run_08.csv</v>
      </c>
      <c r="F82" s="33" t="str">
        <f t="shared" ca="1" si="8"/>
        <v>D:\DPL\ISA3\Example Implementations\NASA Tool Wear\01) N_studies_with_1_assay_each\Data_mill\Case_09\Sensor\smcDC\Case_09_time_run_08.csv</v>
      </c>
      <c r="G82" s="33" t="str">
        <f t="shared" ca="1" si="8"/>
        <v>D:\DPL\ISA3\Example Implementations\NASA Tool Wear\01) N_studies_with_1_assay_each\Data_mill\Case_09\Sensor\AE_table\Case_09_time_run_08.csv</v>
      </c>
      <c r="H82" s="33" t="str">
        <f t="shared" ca="1" si="8"/>
        <v>D:\DPL\ISA3\Example Implementations\NASA Tool Wear\01) N_studies_with_1_assay_each\Data_mill\Case_09\Sensor\AE_spindle\Case_09_time_run_08.csv</v>
      </c>
      <c r="I82" s="33"/>
      <c r="J82" s="33"/>
      <c r="K82" s="33"/>
    </row>
    <row r="83" spans="1:11" s="21" customFormat="1" x14ac:dyDescent="0.3">
      <c r="A83" s="57" t="s">
        <v>79</v>
      </c>
      <c r="B83" s="57" t="s">
        <v>200</v>
      </c>
      <c r="C83" s="63" t="str">
        <f t="shared" ca="1" si="8"/>
        <v>D:\DPL\ISA3\Example Implementations\NASA Tool Wear\01) N_studies_with_1_assay_each\Data_mill\Case_09\Sensor\vib_table\Case_09_time_run_09.csv</v>
      </c>
      <c r="D83" s="63" t="str">
        <f t="shared" ca="1" si="8"/>
        <v>D:\DPL\ISA3\Example Implementations\NASA Tool Wear\01) N_studies_with_1_assay_each\Data_mill\Case_09\Sensor\vib_spindle\Case_09_time_run_09.csv</v>
      </c>
      <c r="E83" s="63" t="str">
        <f t="shared" ca="1" si="8"/>
        <v>D:\DPL\ISA3\Example Implementations\NASA Tool Wear\01) N_studies_with_1_assay_each\Data_mill\Case_09\Sensor\smcAC\Case_09_time_run_09.csv</v>
      </c>
      <c r="F83" s="63" t="str">
        <f t="shared" ca="1" si="8"/>
        <v>D:\DPL\ISA3\Example Implementations\NASA Tool Wear\01) N_studies_with_1_assay_each\Data_mill\Case_09\Sensor\smcDC\Case_09_time_run_09.csv</v>
      </c>
      <c r="G83" s="63" t="str">
        <f t="shared" ca="1" si="8"/>
        <v>D:\DPL\ISA3\Example Implementations\NASA Tool Wear\01) N_studies_with_1_assay_each\Data_mill\Case_09\Sensor\AE_table\Case_09_time_run_09.csv</v>
      </c>
      <c r="H83" s="63" t="str">
        <f t="shared" ca="1" si="8"/>
        <v>D:\DPL\ISA3\Example Implementations\NASA Tool Wear\01) N_studies_with_1_assay_each\Data_mill\Case_09\Sensor\AE_spindle\Case_09_time_run_09.csv</v>
      </c>
      <c r="I83" s="63"/>
      <c r="J83" s="63"/>
      <c r="K83" s="63"/>
    </row>
    <row r="84" spans="1:11" s="24" customFormat="1" x14ac:dyDescent="0.3">
      <c r="A84" s="17" t="s">
        <v>80</v>
      </c>
      <c r="B84" s="17" t="s">
        <v>192</v>
      </c>
      <c r="C84" s="33" t="str">
        <f t="shared" ca="1" si="8"/>
        <v>D:\DPL\ISA3\Example Implementations\NASA Tool Wear\01) N_studies_with_1_assay_each\Data_mill\Case_10\Sensor\vib_table\Case_10_time_run_01.csv</v>
      </c>
      <c r="D84" s="33" t="str">
        <f t="shared" ca="1" si="8"/>
        <v>D:\DPL\ISA3\Example Implementations\NASA Tool Wear\01) N_studies_with_1_assay_each\Data_mill\Case_10\Sensor\vib_spindle\Case_10_time_run_01.csv</v>
      </c>
      <c r="E84" s="33" t="str">
        <f t="shared" ca="1" si="8"/>
        <v>D:\DPL\ISA3\Example Implementations\NASA Tool Wear\01) N_studies_with_1_assay_each\Data_mill\Case_10\Sensor\smcAC\Case_10_time_run_01.csv</v>
      </c>
      <c r="F84" s="33" t="str">
        <f t="shared" ca="1" si="8"/>
        <v>D:\DPL\ISA3\Example Implementations\NASA Tool Wear\01) N_studies_with_1_assay_each\Data_mill\Case_10\Sensor\smcDC\Case_10_time_run_01.csv</v>
      </c>
      <c r="G84" s="33" t="str">
        <f t="shared" ca="1" si="8"/>
        <v>D:\DPL\ISA3\Example Implementations\NASA Tool Wear\01) N_studies_with_1_assay_each\Data_mill\Case_10\Sensor\AE_table\Case_10_time_run_01.csv</v>
      </c>
      <c r="H84" s="33" t="str">
        <f t="shared" ca="1" si="8"/>
        <v>D:\DPL\ISA3\Example Implementations\NASA Tool Wear\01) N_studies_with_1_assay_each\Data_mill\Case_10\Sensor\AE_spindle\Case_10_time_run_01.csv</v>
      </c>
      <c r="I84" s="33"/>
      <c r="J84" s="33"/>
      <c r="K84" s="33"/>
    </row>
    <row r="85" spans="1:11" s="24" customFormat="1" x14ac:dyDescent="0.3">
      <c r="A85" s="17" t="s">
        <v>80</v>
      </c>
      <c r="B85" s="17" t="s">
        <v>193</v>
      </c>
      <c r="C85" s="33" t="str">
        <f t="shared" ca="1" si="8"/>
        <v>D:\DPL\ISA3\Example Implementations\NASA Tool Wear\01) N_studies_with_1_assay_each\Data_mill\Case_10\Sensor\vib_table\Case_10_time_run_02.csv</v>
      </c>
      <c r="D85" s="33" t="str">
        <f t="shared" ca="1" si="8"/>
        <v>D:\DPL\ISA3\Example Implementations\NASA Tool Wear\01) N_studies_with_1_assay_each\Data_mill\Case_10\Sensor\vib_spindle\Case_10_time_run_02.csv</v>
      </c>
      <c r="E85" s="33" t="str">
        <f t="shared" ca="1" si="8"/>
        <v>D:\DPL\ISA3\Example Implementations\NASA Tool Wear\01) N_studies_with_1_assay_each\Data_mill\Case_10\Sensor\smcAC\Case_10_time_run_02.csv</v>
      </c>
      <c r="F85" s="33" t="str">
        <f t="shared" ca="1" si="8"/>
        <v>D:\DPL\ISA3\Example Implementations\NASA Tool Wear\01) N_studies_with_1_assay_each\Data_mill\Case_10\Sensor\smcDC\Case_10_time_run_02.csv</v>
      </c>
      <c r="G85" s="33" t="str">
        <f t="shared" ca="1" si="8"/>
        <v>D:\DPL\ISA3\Example Implementations\NASA Tool Wear\01) N_studies_with_1_assay_each\Data_mill\Case_10\Sensor\AE_table\Case_10_time_run_02.csv</v>
      </c>
      <c r="H85" s="33" t="str">
        <f t="shared" ca="1" si="8"/>
        <v>D:\DPL\ISA3\Example Implementations\NASA Tool Wear\01) N_studies_with_1_assay_each\Data_mill\Case_10\Sensor\AE_spindle\Case_10_time_run_02.csv</v>
      </c>
      <c r="I85" s="33"/>
      <c r="J85" s="33"/>
      <c r="K85" s="33"/>
    </row>
    <row r="86" spans="1:11" s="24" customFormat="1" x14ac:dyDescent="0.3">
      <c r="A86" s="17" t="s">
        <v>80</v>
      </c>
      <c r="B86" s="17" t="s">
        <v>194</v>
      </c>
      <c r="C86" s="33" t="str">
        <f t="shared" ca="1" si="8"/>
        <v>D:\DPL\ISA3\Example Implementations\NASA Tool Wear\01) N_studies_with_1_assay_each\Data_mill\Case_10\Sensor\vib_table\Case_10_time_run_03.csv</v>
      </c>
      <c r="D86" s="33" t="str">
        <f t="shared" ca="1" si="8"/>
        <v>D:\DPL\ISA3\Example Implementations\NASA Tool Wear\01) N_studies_with_1_assay_each\Data_mill\Case_10\Sensor\vib_spindle\Case_10_time_run_03.csv</v>
      </c>
      <c r="E86" s="33" t="str">
        <f t="shared" ca="1" si="8"/>
        <v>D:\DPL\ISA3\Example Implementations\NASA Tool Wear\01) N_studies_with_1_assay_each\Data_mill\Case_10\Sensor\smcAC\Case_10_time_run_03.csv</v>
      </c>
      <c r="F86" s="33" t="str">
        <f t="shared" ca="1" si="8"/>
        <v>D:\DPL\ISA3\Example Implementations\NASA Tool Wear\01) N_studies_with_1_assay_each\Data_mill\Case_10\Sensor\smcDC\Case_10_time_run_03.csv</v>
      </c>
      <c r="G86" s="33" t="str">
        <f t="shared" ca="1" si="8"/>
        <v>D:\DPL\ISA3\Example Implementations\NASA Tool Wear\01) N_studies_with_1_assay_each\Data_mill\Case_10\Sensor\AE_table\Case_10_time_run_03.csv</v>
      </c>
      <c r="H86" s="33" t="str">
        <f t="shared" ca="1" si="8"/>
        <v>D:\DPL\ISA3\Example Implementations\NASA Tool Wear\01) N_studies_with_1_assay_each\Data_mill\Case_10\Sensor\AE_spindle\Case_10_time_run_03.csv</v>
      </c>
      <c r="I86" s="33"/>
      <c r="J86" s="33"/>
      <c r="K86" s="33"/>
    </row>
    <row r="87" spans="1:11" s="24" customFormat="1" x14ac:dyDescent="0.3">
      <c r="A87" s="17" t="s">
        <v>80</v>
      </c>
      <c r="B87" s="17" t="s">
        <v>195</v>
      </c>
      <c r="C87" s="33" t="str">
        <f t="shared" ca="1" si="8"/>
        <v>D:\DPL\ISA3\Example Implementations\NASA Tool Wear\01) N_studies_with_1_assay_each\Data_mill\Case_10\Sensor\vib_table\Case_10_time_run_04.csv</v>
      </c>
      <c r="D87" s="33" t="str">
        <f t="shared" ca="1" si="8"/>
        <v>D:\DPL\ISA3\Example Implementations\NASA Tool Wear\01) N_studies_with_1_assay_each\Data_mill\Case_10\Sensor\vib_spindle\Case_10_time_run_04.csv</v>
      </c>
      <c r="E87" s="33" t="str">
        <f t="shared" ca="1" si="8"/>
        <v>D:\DPL\ISA3\Example Implementations\NASA Tool Wear\01) N_studies_with_1_assay_each\Data_mill\Case_10\Sensor\smcAC\Case_10_time_run_04.csv</v>
      </c>
      <c r="F87" s="33" t="str">
        <f t="shared" ca="1" si="8"/>
        <v>D:\DPL\ISA3\Example Implementations\NASA Tool Wear\01) N_studies_with_1_assay_each\Data_mill\Case_10\Sensor\smcDC\Case_10_time_run_04.csv</v>
      </c>
      <c r="G87" s="33" t="str">
        <f t="shared" ca="1" si="8"/>
        <v>D:\DPL\ISA3\Example Implementations\NASA Tool Wear\01) N_studies_with_1_assay_each\Data_mill\Case_10\Sensor\AE_table\Case_10_time_run_04.csv</v>
      </c>
      <c r="H87" s="33" t="str">
        <f t="shared" ca="1" si="8"/>
        <v>D:\DPL\ISA3\Example Implementations\NASA Tool Wear\01) N_studies_with_1_assay_each\Data_mill\Case_10\Sensor\AE_spindle\Case_10_time_run_04.csv</v>
      </c>
      <c r="I87" s="33"/>
      <c r="J87" s="33"/>
      <c r="K87" s="33"/>
    </row>
    <row r="88" spans="1:11" s="24" customFormat="1" x14ac:dyDescent="0.3">
      <c r="A88" s="17" t="s">
        <v>80</v>
      </c>
      <c r="B88" s="17" t="s">
        <v>196</v>
      </c>
      <c r="C88" s="33" t="str">
        <f t="shared" ca="1" si="8"/>
        <v>D:\DPL\ISA3\Example Implementations\NASA Tool Wear\01) N_studies_with_1_assay_each\Data_mill\Case_10\Sensor\vib_table\Case_10_time_run_05.csv</v>
      </c>
      <c r="D88" s="33" t="str">
        <f t="shared" ca="1" si="8"/>
        <v>D:\DPL\ISA3\Example Implementations\NASA Tool Wear\01) N_studies_with_1_assay_each\Data_mill\Case_10\Sensor\vib_spindle\Case_10_time_run_05.csv</v>
      </c>
      <c r="E88" s="33" t="str">
        <f t="shared" ca="1" si="8"/>
        <v>D:\DPL\ISA3\Example Implementations\NASA Tool Wear\01) N_studies_with_1_assay_each\Data_mill\Case_10\Sensor\smcAC\Case_10_time_run_05.csv</v>
      </c>
      <c r="F88" s="33" t="str">
        <f t="shared" ca="1" si="8"/>
        <v>D:\DPL\ISA3\Example Implementations\NASA Tool Wear\01) N_studies_with_1_assay_each\Data_mill\Case_10\Sensor\smcDC\Case_10_time_run_05.csv</v>
      </c>
      <c r="G88" s="33" t="str">
        <f t="shared" ca="1" si="8"/>
        <v>D:\DPL\ISA3\Example Implementations\NASA Tool Wear\01) N_studies_with_1_assay_each\Data_mill\Case_10\Sensor\AE_table\Case_10_time_run_05.csv</v>
      </c>
      <c r="H88" s="33" t="str">
        <f t="shared" ca="1" si="8"/>
        <v>D:\DPL\ISA3\Example Implementations\NASA Tool Wear\01) N_studies_with_1_assay_each\Data_mill\Case_10\Sensor\AE_spindle\Case_10_time_run_05.csv</v>
      </c>
      <c r="I88" s="33"/>
      <c r="J88" s="33"/>
      <c r="K88" s="33"/>
    </row>
    <row r="89" spans="1:11" s="24" customFormat="1" x14ac:dyDescent="0.3">
      <c r="A89" s="17" t="s">
        <v>80</v>
      </c>
      <c r="B89" s="17" t="s">
        <v>197</v>
      </c>
      <c r="C89" s="33" t="str">
        <f t="shared" ca="1" si="8"/>
        <v>D:\DPL\ISA3\Example Implementations\NASA Tool Wear\01) N_studies_with_1_assay_each\Data_mill\Case_10\Sensor\vib_table\Case_10_time_run_06.csv</v>
      </c>
      <c r="D89" s="33" t="str">
        <f t="shared" ca="1" si="8"/>
        <v>D:\DPL\ISA3\Example Implementations\NASA Tool Wear\01) N_studies_with_1_assay_each\Data_mill\Case_10\Sensor\vib_spindle\Case_10_time_run_06.csv</v>
      </c>
      <c r="E89" s="33" t="str">
        <f t="shared" ca="1" si="8"/>
        <v>D:\DPL\ISA3\Example Implementations\NASA Tool Wear\01) N_studies_with_1_assay_each\Data_mill\Case_10\Sensor\smcAC\Case_10_time_run_06.csv</v>
      </c>
      <c r="F89" s="33" t="str">
        <f t="shared" ca="1" si="8"/>
        <v>D:\DPL\ISA3\Example Implementations\NASA Tool Wear\01) N_studies_with_1_assay_each\Data_mill\Case_10\Sensor\smcDC\Case_10_time_run_06.csv</v>
      </c>
      <c r="G89" s="33" t="str">
        <f t="shared" ca="1" si="8"/>
        <v>D:\DPL\ISA3\Example Implementations\NASA Tool Wear\01) N_studies_with_1_assay_each\Data_mill\Case_10\Sensor\AE_table\Case_10_time_run_06.csv</v>
      </c>
      <c r="H89" s="33" t="str">
        <f t="shared" ca="1" si="8"/>
        <v>D:\DPL\ISA3\Example Implementations\NASA Tool Wear\01) N_studies_with_1_assay_each\Data_mill\Case_10\Sensor\AE_spindle\Case_10_time_run_06.csv</v>
      </c>
      <c r="I89" s="33"/>
      <c r="J89" s="33"/>
      <c r="K89" s="33"/>
    </row>
    <row r="90" spans="1:11" s="24" customFormat="1" x14ac:dyDescent="0.3">
      <c r="A90" s="17" t="s">
        <v>80</v>
      </c>
      <c r="B90" s="17" t="s">
        <v>198</v>
      </c>
      <c r="C90" s="33" t="str">
        <f t="shared" ca="1" si="8"/>
        <v>D:\DPL\ISA3\Example Implementations\NASA Tool Wear\01) N_studies_with_1_assay_each\Data_mill\Case_10\Sensor\vib_table\Case_10_time_run_07.csv</v>
      </c>
      <c r="D90" s="33" t="str">
        <f t="shared" ca="1" si="8"/>
        <v>D:\DPL\ISA3\Example Implementations\NASA Tool Wear\01) N_studies_with_1_assay_each\Data_mill\Case_10\Sensor\vib_spindle\Case_10_time_run_07.csv</v>
      </c>
      <c r="E90" s="33" t="str">
        <f t="shared" ca="1" si="8"/>
        <v>D:\DPL\ISA3\Example Implementations\NASA Tool Wear\01) N_studies_with_1_assay_each\Data_mill\Case_10\Sensor\smcAC\Case_10_time_run_07.csv</v>
      </c>
      <c r="F90" s="33" t="str">
        <f t="shared" ca="1" si="8"/>
        <v>D:\DPL\ISA3\Example Implementations\NASA Tool Wear\01) N_studies_with_1_assay_each\Data_mill\Case_10\Sensor\smcDC\Case_10_time_run_07.csv</v>
      </c>
      <c r="G90" s="33" t="str">
        <f t="shared" ca="1" si="8"/>
        <v>D:\DPL\ISA3\Example Implementations\NASA Tool Wear\01) N_studies_with_1_assay_each\Data_mill\Case_10\Sensor\AE_table\Case_10_time_run_07.csv</v>
      </c>
      <c r="H90" s="33" t="str">
        <f t="shared" ca="1" si="8"/>
        <v>D:\DPL\ISA3\Example Implementations\NASA Tool Wear\01) N_studies_with_1_assay_each\Data_mill\Case_10\Sensor\AE_spindle\Case_10_time_run_07.csv</v>
      </c>
      <c r="I90" s="33"/>
      <c r="J90" s="33"/>
      <c r="K90" s="33"/>
    </row>
    <row r="91" spans="1:11" s="24" customFormat="1" x14ac:dyDescent="0.3">
      <c r="A91" s="17" t="s">
        <v>80</v>
      </c>
      <c r="B91" s="17" t="s">
        <v>199</v>
      </c>
      <c r="C91" s="33" t="str">
        <f t="shared" ca="1" si="8"/>
        <v>D:\DPL\ISA3\Example Implementations\NASA Tool Wear\01) N_studies_with_1_assay_each\Data_mill\Case_10\Sensor\vib_table\Case_10_time_run_08.csv</v>
      </c>
      <c r="D91" s="33" t="str">
        <f t="shared" ca="1" si="8"/>
        <v>D:\DPL\ISA3\Example Implementations\NASA Tool Wear\01) N_studies_with_1_assay_each\Data_mill\Case_10\Sensor\vib_spindle\Case_10_time_run_08.csv</v>
      </c>
      <c r="E91" s="33" t="str">
        <f t="shared" ca="1" si="8"/>
        <v>D:\DPL\ISA3\Example Implementations\NASA Tool Wear\01) N_studies_with_1_assay_each\Data_mill\Case_10\Sensor\smcAC\Case_10_time_run_08.csv</v>
      </c>
      <c r="F91" s="33" t="str">
        <f t="shared" ca="1" si="8"/>
        <v>D:\DPL\ISA3\Example Implementations\NASA Tool Wear\01) N_studies_with_1_assay_each\Data_mill\Case_10\Sensor\smcDC\Case_10_time_run_08.csv</v>
      </c>
      <c r="G91" s="33" t="str">
        <f t="shared" ca="1" si="8"/>
        <v>D:\DPL\ISA3\Example Implementations\NASA Tool Wear\01) N_studies_with_1_assay_each\Data_mill\Case_10\Sensor\AE_table\Case_10_time_run_08.csv</v>
      </c>
      <c r="H91" s="33" t="str">
        <f t="shared" ca="1" si="8"/>
        <v>D:\DPL\ISA3\Example Implementations\NASA Tool Wear\01) N_studies_with_1_assay_each\Data_mill\Case_10\Sensor\AE_spindle\Case_10_time_run_08.csv</v>
      </c>
      <c r="I91" s="33"/>
      <c r="J91" s="33"/>
      <c r="K91" s="33"/>
    </row>
    <row r="92" spans="1:11" s="24" customFormat="1" x14ac:dyDescent="0.3">
      <c r="A92" s="17" t="s">
        <v>80</v>
      </c>
      <c r="B92" s="17" t="s">
        <v>200</v>
      </c>
      <c r="C92" s="33" t="str">
        <f t="shared" ref="C92:H101" ca="1" si="9">"D:\DPL\ISA3\Example Implementations\NASA Tool Wear\01) N_studies_with_1_assay_each\Data_mill\Case_"&amp;_xlfn.TEXTAFTER($A92,"s")&amp;"\Sensor\"&amp;C$1&amp;"\Case_"&amp;_xlfn.TEXTAFTER($A92,"s")&amp;"_time_run_"&amp;_xlfn.TEXTAFTER($B92,"Run ")&amp;".csv"</f>
        <v>D:\DPL\ISA3\Example Implementations\NASA Tool Wear\01) N_studies_with_1_assay_each\Data_mill\Case_10\Sensor\vib_table\Case_10_time_run_09.csv</v>
      </c>
      <c r="D92" s="33" t="str">
        <f t="shared" ca="1" si="9"/>
        <v>D:\DPL\ISA3\Example Implementations\NASA Tool Wear\01) N_studies_with_1_assay_each\Data_mill\Case_10\Sensor\vib_spindle\Case_10_time_run_09.csv</v>
      </c>
      <c r="E92" s="33" t="str">
        <f t="shared" ca="1" si="9"/>
        <v>D:\DPL\ISA3\Example Implementations\NASA Tool Wear\01) N_studies_with_1_assay_each\Data_mill\Case_10\Sensor\smcAC\Case_10_time_run_09.csv</v>
      </c>
      <c r="F92" s="33" t="str">
        <f t="shared" ca="1" si="9"/>
        <v>D:\DPL\ISA3\Example Implementations\NASA Tool Wear\01) N_studies_with_1_assay_each\Data_mill\Case_10\Sensor\smcDC\Case_10_time_run_09.csv</v>
      </c>
      <c r="G92" s="33" t="str">
        <f t="shared" ca="1" si="9"/>
        <v>D:\DPL\ISA3\Example Implementations\NASA Tool Wear\01) N_studies_with_1_assay_each\Data_mill\Case_10\Sensor\AE_table\Case_10_time_run_09.csv</v>
      </c>
      <c r="H92" s="33" t="str">
        <f t="shared" ca="1" si="9"/>
        <v>D:\DPL\ISA3\Example Implementations\NASA Tool Wear\01) N_studies_with_1_assay_each\Data_mill\Case_10\Sensor\AE_spindle\Case_10_time_run_09.csv</v>
      </c>
      <c r="I92" s="33"/>
      <c r="J92" s="33"/>
      <c r="K92" s="33"/>
    </row>
    <row r="93" spans="1:11" s="21" customFormat="1" x14ac:dyDescent="0.3">
      <c r="A93" s="57" t="s">
        <v>80</v>
      </c>
      <c r="B93" s="57" t="s">
        <v>169</v>
      </c>
      <c r="C93" s="63" t="str">
        <f t="shared" ca="1" si="9"/>
        <v>D:\DPL\ISA3\Example Implementations\NASA Tool Wear\01) N_studies_with_1_assay_each\Data_mill\Case_10\Sensor\vib_table\Case_10_time_run_10.csv</v>
      </c>
      <c r="D93" s="63" t="str">
        <f t="shared" ca="1" si="9"/>
        <v>D:\DPL\ISA3\Example Implementations\NASA Tool Wear\01) N_studies_with_1_assay_each\Data_mill\Case_10\Sensor\vib_spindle\Case_10_time_run_10.csv</v>
      </c>
      <c r="E93" s="63" t="str">
        <f t="shared" ca="1" si="9"/>
        <v>D:\DPL\ISA3\Example Implementations\NASA Tool Wear\01) N_studies_with_1_assay_each\Data_mill\Case_10\Sensor\smcAC\Case_10_time_run_10.csv</v>
      </c>
      <c r="F93" s="63" t="str">
        <f t="shared" ca="1" si="9"/>
        <v>D:\DPL\ISA3\Example Implementations\NASA Tool Wear\01) N_studies_with_1_assay_each\Data_mill\Case_10\Sensor\smcDC\Case_10_time_run_10.csv</v>
      </c>
      <c r="G93" s="63" t="str">
        <f t="shared" ca="1" si="9"/>
        <v>D:\DPL\ISA3\Example Implementations\NASA Tool Wear\01) N_studies_with_1_assay_each\Data_mill\Case_10\Sensor\AE_table\Case_10_time_run_10.csv</v>
      </c>
      <c r="H93" s="63" t="str">
        <f t="shared" ca="1" si="9"/>
        <v>D:\DPL\ISA3\Example Implementations\NASA Tool Wear\01) N_studies_with_1_assay_each\Data_mill\Case_10\Sensor\AE_spindle\Case_10_time_run_10.csv</v>
      </c>
      <c r="I93" s="63"/>
      <c r="J93" s="63"/>
      <c r="K93" s="63"/>
    </row>
    <row r="94" spans="1:11" s="24" customFormat="1" x14ac:dyDescent="0.3">
      <c r="A94" s="17" t="s">
        <v>81</v>
      </c>
      <c r="B94" s="17" t="s">
        <v>192</v>
      </c>
      <c r="C94" s="33" t="str">
        <f t="shared" ca="1" si="9"/>
        <v>D:\DPL\ISA3\Example Implementations\NASA Tool Wear\01) N_studies_with_1_assay_each\Data_mill\Case_11\Sensor\vib_table\Case_11_time_run_01.csv</v>
      </c>
      <c r="D94" s="33" t="str">
        <f t="shared" ca="1" si="9"/>
        <v>D:\DPL\ISA3\Example Implementations\NASA Tool Wear\01) N_studies_with_1_assay_each\Data_mill\Case_11\Sensor\vib_spindle\Case_11_time_run_01.csv</v>
      </c>
      <c r="E94" s="33" t="str">
        <f t="shared" ca="1" si="9"/>
        <v>D:\DPL\ISA3\Example Implementations\NASA Tool Wear\01) N_studies_with_1_assay_each\Data_mill\Case_11\Sensor\smcAC\Case_11_time_run_01.csv</v>
      </c>
      <c r="F94" s="33" t="str">
        <f t="shared" ca="1" si="9"/>
        <v>D:\DPL\ISA3\Example Implementations\NASA Tool Wear\01) N_studies_with_1_assay_each\Data_mill\Case_11\Sensor\smcDC\Case_11_time_run_01.csv</v>
      </c>
      <c r="G94" s="33" t="str">
        <f t="shared" ca="1" si="9"/>
        <v>D:\DPL\ISA3\Example Implementations\NASA Tool Wear\01) N_studies_with_1_assay_each\Data_mill\Case_11\Sensor\AE_table\Case_11_time_run_01.csv</v>
      </c>
      <c r="H94" s="33" t="str">
        <f t="shared" ca="1" si="9"/>
        <v>D:\DPL\ISA3\Example Implementations\NASA Tool Wear\01) N_studies_with_1_assay_each\Data_mill\Case_11\Sensor\AE_spindle\Case_11_time_run_01.csv</v>
      </c>
      <c r="I94" s="33"/>
      <c r="J94" s="33"/>
      <c r="K94" s="33"/>
    </row>
    <row r="95" spans="1:11" s="24" customFormat="1" x14ac:dyDescent="0.3">
      <c r="A95" s="17" t="s">
        <v>81</v>
      </c>
      <c r="B95" s="17" t="s">
        <v>193</v>
      </c>
      <c r="C95" s="33" t="str">
        <f t="shared" ca="1" si="9"/>
        <v>D:\DPL\ISA3\Example Implementations\NASA Tool Wear\01) N_studies_with_1_assay_each\Data_mill\Case_11\Sensor\vib_table\Case_11_time_run_02.csv</v>
      </c>
      <c r="D95" s="33" t="str">
        <f t="shared" ca="1" si="9"/>
        <v>D:\DPL\ISA3\Example Implementations\NASA Tool Wear\01) N_studies_with_1_assay_each\Data_mill\Case_11\Sensor\vib_spindle\Case_11_time_run_02.csv</v>
      </c>
      <c r="E95" s="33" t="str">
        <f t="shared" ca="1" si="9"/>
        <v>D:\DPL\ISA3\Example Implementations\NASA Tool Wear\01) N_studies_with_1_assay_each\Data_mill\Case_11\Sensor\smcAC\Case_11_time_run_02.csv</v>
      </c>
      <c r="F95" s="33" t="str">
        <f t="shared" ca="1" si="9"/>
        <v>D:\DPL\ISA3\Example Implementations\NASA Tool Wear\01) N_studies_with_1_assay_each\Data_mill\Case_11\Sensor\smcDC\Case_11_time_run_02.csv</v>
      </c>
      <c r="G95" s="33" t="str">
        <f t="shared" ca="1" si="9"/>
        <v>D:\DPL\ISA3\Example Implementations\NASA Tool Wear\01) N_studies_with_1_assay_each\Data_mill\Case_11\Sensor\AE_table\Case_11_time_run_02.csv</v>
      </c>
      <c r="H95" s="33" t="str">
        <f t="shared" ca="1" si="9"/>
        <v>D:\DPL\ISA3\Example Implementations\NASA Tool Wear\01) N_studies_with_1_assay_each\Data_mill\Case_11\Sensor\AE_spindle\Case_11_time_run_02.csv</v>
      </c>
      <c r="I95" s="33"/>
      <c r="J95" s="33"/>
      <c r="K95" s="33"/>
    </row>
    <row r="96" spans="1:11" s="24" customFormat="1" x14ac:dyDescent="0.3">
      <c r="A96" s="17" t="s">
        <v>81</v>
      </c>
      <c r="B96" s="17" t="s">
        <v>194</v>
      </c>
      <c r="C96" s="33" t="str">
        <f t="shared" ca="1" si="9"/>
        <v>D:\DPL\ISA3\Example Implementations\NASA Tool Wear\01) N_studies_with_1_assay_each\Data_mill\Case_11\Sensor\vib_table\Case_11_time_run_03.csv</v>
      </c>
      <c r="D96" s="33" t="str">
        <f t="shared" ca="1" si="9"/>
        <v>D:\DPL\ISA3\Example Implementations\NASA Tool Wear\01) N_studies_with_1_assay_each\Data_mill\Case_11\Sensor\vib_spindle\Case_11_time_run_03.csv</v>
      </c>
      <c r="E96" s="33" t="str">
        <f t="shared" ca="1" si="9"/>
        <v>D:\DPL\ISA3\Example Implementations\NASA Tool Wear\01) N_studies_with_1_assay_each\Data_mill\Case_11\Sensor\smcAC\Case_11_time_run_03.csv</v>
      </c>
      <c r="F96" s="33" t="str">
        <f t="shared" ca="1" si="9"/>
        <v>D:\DPL\ISA3\Example Implementations\NASA Tool Wear\01) N_studies_with_1_assay_each\Data_mill\Case_11\Sensor\smcDC\Case_11_time_run_03.csv</v>
      </c>
      <c r="G96" s="33" t="str">
        <f t="shared" ca="1" si="9"/>
        <v>D:\DPL\ISA3\Example Implementations\NASA Tool Wear\01) N_studies_with_1_assay_each\Data_mill\Case_11\Sensor\AE_table\Case_11_time_run_03.csv</v>
      </c>
      <c r="H96" s="33" t="str">
        <f t="shared" ca="1" si="9"/>
        <v>D:\DPL\ISA3\Example Implementations\NASA Tool Wear\01) N_studies_with_1_assay_each\Data_mill\Case_11\Sensor\AE_spindle\Case_11_time_run_03.csv</v>
      </c>
      <c r="I96" s="33"/>
      <c r="J96" s="33"/>
      <c r="K96" s="33"/>
    </row>
    <row r="97" spans="1:11" s="24" customFormat="1" x14ac:dyDescent="0.3">
      <c r="A97" s="17" t="s">
        <v>81</v>
      </c>
      <c r="B97" s="17" t="s">
        <v>195</v>
      </c>
      <c r="C97" s="33" t="str">
        <f t="shared" ca="1" si="9"/>
        <v>D:\DPL\ISA3\Example Implementations\NASA Tool Wear\01) N_studies_with_1_assay_each\Data_mill\Case_11\Sensor\vib_table\Case_11_time_run_04.csv</v>
      </c>
      <c r="D97" s="33" t="str">
        <f t="shared" ca="1" si="9"/>
        <v>D:\DPL\ISA3\Example Implementations\NASA Tool Wear\01) N_studies_with_1_assay_each\Data_mill\Case_11\Sensor\vib_spindle\Case_11_time_run_04.csv</v>
      </c>
      <c r="E97" s="33" t="str">
        <f t="shared" ca="1" si="9"/>
        <v>D:\DPL\ISA3\Example Implementations\NASA Tool Wear\01) N_studies_with_1_assay_each\Data_mill\Case_11\Sensor\smcAC\Case_11_time_run_04.csv</v>
      </c>
      <c r="F97" s="33" t="str">
        <f t="shared" ca="1" si="9"/>
        <v>D:\DPL\ISA3\Example Implementations\NASA Tool Wear\01) N_studies_with_1_assay_each\Data_mill\Case_11\Sensor\smcDC\Case_11_time_run_04.csv</v>
      </c>
      <c r="G97" s="33" t="str">
        <f t="shared" ca="1" si="9"/>
        <v>D:\DPL\ISA3\Example Implementations\NASA Tool Wear\01) N_studies_with_1_assay_each\Data_mill\Case_11\Sensor\AE_table\Case_11_time_run_04.csv</v>
      </c>
      <c r="H97" s="33" t="str">
        <f t="shared" ca="1" si="9"/>
        <v>D:\DPL\ISA3\Example Implementations\NASA Tool Wear\01) N_studies_with_1_assay_each\Data_mill\Case_11\Sensor\AE_spindle\Case_11_time_run_04.csv</v>
      </c>
      <c r="I97" s="33"/>
      <c r="J97" s="33"/>
      <c r="K97" s="33"/>
    </row>
    <row r="98" spans="1:11" s="24" customFormat="1" x14ac:dyDescent="0.3">
      <c r="A98" s="17" t="s">
        <v>81</v>
      </c>
      <c r="B98" s="17" t="s">
        <v>196</v>
      </c>
      <c r="C98" s="33" t="str">
        <f t="shared" ca="1" si="9"/>
        <v>D:\DPL\ISA3\Example Implementations\NASA Tool Wear\01) N_studies_with_1_assay_each\Data_mill\Case_11\Sensor\vib_table\Case_11_time_run_05.csv</v>
      </c>
      <c r="D98" s="33" t="str">
        <f t="shared" ca="1" si="9"/>
        <v>D:\DPL\ISA3\Example Implementations\NASA Tool Wear\01) N_studies_with_1_assay_each\Data_mill\Case_11\Sensor\vib_spindle\Case_11_time_run_05.csv</v>
      </c>
      <c r="E98" s="33" t="str">
        <f t="shared" ca="1" si="9"/>
        <v>D:\DPL\ISA3\Example Implementations\NASA Tool Wear\01) N_studies_with_1_assay_each\Data_mill\Case_11\Sensor\smcAC\Case_11_time_run_05.csv</v>
      </c>
      <c r="F98" s="33" t="str">
        <f t="shared" ca="1" si="9"/>
        <v>D:\DPL\ISA3\Example Implementations\NASA Tool Wear\01) N_studies_with_1_assay_each\Data_mill\Case_11\Sensor\smcDC\Case_11_time_run_05.csv</v>
      </c>
      <c r="G98" s="33" t="str">
        <f t="shared" ca="1" si="9"/>
        <v>D:\DPL\ISA3\Example Implementations\NASA Tool Wear\01) N_studies_with_1_assay_each\Data_mill\Case_11\Sensor\AE_table\Case_11_time_run_05.csv</v>
      </c>
      <c r="H98" s="33" t="str">
        <f t="shared" ca="1" si="9"/>
        <v>D:\DPL\ISA3\Example Implementations\NASA Tool Wear\01) N_studies_with_1_assay_each\Data_mill\Case_11\Sensor\AE_spindle\Case_11_time_run_05.csv</v>
      </c>
      <c r="I98" s="33"/>
      <c r="J98" s="33"/>
      <c r="K98" s="33"/>
    </row>
    <row r="99" spans="1:11" s="24" customFormat="1" x14ac:dyDescent="0.3">
      <c r="A99" s="17" t="s">
        <v>81</v>
      </c>
      <c r="B99" s="17" t="s">
        <v>197</v>
      </c>
      <c r="C99" s="33" t="str">
        <f t="shared" ca="1" si="9"/>
        <v>D:\DPL\ISA3\Example Implementations\NASA Tool Wear\01) N_studies_with_1_assay_each\Data_mill\Case_11\Sensor\vib_table\Case_11_time_run_06.csv</v>
      </c>
      <c r="D99" s="33" t="str">
        <f t="shared" ca="1" si="9"/>
        <v>D:\DPL\ISA3\Example Implementations\NASA Tool Wear\01) N_studies_with_1_assay_each\Data_mill\Case_11\Sensor\vib_spindle\Case_11_time_run_06.csv</v>
      </c>
      <c r="E99" s="33" t="str">
        <f t="shared" ca="1" si="9"/>
        <v>D:\DPL\ISA3\Example Implementations\NASA Tool Wear\01) N_studies_with_1_assay_each\Data_mill\Case_11\Sensor\smcAC\Case_11_time_run_06.csv</v>
      </c>
      <c r="F99" s="33" t="str">
        <f t="shared" ca="1" si="9"/>
        <v>D:\DPL\ISA3\Example Implementations\NASA Tool Wear\01) N_studies_with_1_assay_each\Data_mill\Case_11\Sensor\smcDC\Case_11_time_run_06.csv</v>
      </c>
      <c r="G99" s="33" t="str">
        <f t="shared" ca="1" si="9"/>
        <v>D:\DPL\ISA3\Example Implementations\NASA Tool Wear\01) N_studies_with_1_assay_each\Data_mill\Case_11\Sensor\AE_table\Case_11_time_run_06.csv</v>
      </c>
      <c r="H99" s="33" t="str">
        <f t="shared" ca="1" si="9"/>
        <v>D:\DPL\ISA3\Example Implementations\NASA Tool Wear\01) N_studies_with_1_assay_each\Data_mill\Case_11\Sensor\AE_spindle\Case_11_time_run_06.csv</v>
      </c>
      <c r="I99" s="33"/>
      <c r="J99" s="33"/>
      <c r="K99" s="33"/>
    </row>
    <row r="100" spans="1:11" s="24" customFormat="1" x14ac:dyDescent="0.3">
      <c r="A100" s="17" t="s">
        <v>81</v>
      </c>
      <c r="B100" s="17" t="s">
        <v>198</v>
      </c>
      <c r="C100" s="33" t="str">
        <f t="shared" ca="1" si="9"/>
        <v>D:\DPL\ISA3\Example Implementations\NASA Tool Wear\01) N_studies_with_1_assay_each\Data_mill\Case_11\Sensor\vib_table\Case_11_time_run_07.csv</v>
      </c>
      <c r="D100" s="33" t="str">
        <f t="shared" ca="1" si="9"/>
        <v>D:\DPL\ISA3\Example Implementations\NASA Tool Wear\01) N_studies_with_1_assay_each\Data_mill\Case_11\Sensor\vib_spindle\Case_11_time_run_07.csv</v>
      </c>
      <c r="E100" s="33" t="str">
        <f t="shared" ca="1" si="9"/>
        <v>D:\DPL\ISA3\Example Implementations\NASA Tool Wear\01) N_studies_with_1_assay_each\Data_mill\Case_11\Sensor\smcAC\Case_11_time_run_07.csv</v>
      </c>
      <c r="F100" s="33" t="str">
        <f t="shared" ca="1" si="9"/>
        <v>D:\DPL\ISA3\Example Implementations\NASA Tool Wear\01) N_studies_with_1_assay_each\Data_mill\Case_11\Sensor\smcDC\Case_11_time_run_07.csv</v>
      </c>
      <c r="G100" s="33" t="str">
        <f t="shared" ca="1" si="9"/>
        <v>D:\DPL\ISA3\Example Implementations\NASA Tool Wear\01) N_studies_with_1_assay_each\Data_mill\Case_11\Sensor\AE_table\Case_11_time_run_07.csv</v>
      </c>
      <c r="H100" s="33" t="str">
        <f t="shared" ca="1" si="9"/>
        <v>D:\DPL\ISA3\Example Implementations\NASA Tool Wear\01) N_studies_with_1_assay_each\Data_mill\Case_11\Sensor\AE_spindle\Case_11_time_run_07.csv</v>
      </c>
      <c r="I100" s="33"/>
      <c r="J100" s="33"/>
      <c r="K100" s="33"/>
    </row>
    <row r="101" spans="1:11" s="24" customFormat="1" x14ac:dyDescent="0.3">
      <c r="A101" s="17" t="s">
        <v>81</v>
      </c>
      <c r="B101" s="17" t="s">
        <v>199</v>
      </c>
      <c r="C101" s="33" t="str">
        <f t="shared" ca="1" si="9"/>
        <v>D:\DPL\ISA3\Example Implementations\NASA Tool Wear\01) N_studies_with_1_assay_each\Data_mill\Case_11\Sensor\vib_table\Case_11_time_run_08.csv</v>
      </c>
      <c r="D101" s="33" t="str">
        <f t="shared" ca="1" si="9"/>
        <v>D:\DPL\ISA3\Example Implementations\NASA Tool Wear\01) N_studies_with_1_assay_each\Data_mill\Case_11\Sensor\vib_spindle\Case_11_time_run_08.csv</v>
      </c>
      <c r="E101" s="33" t="str">
        <f t="shared" ca="1" si="9"/>
        <v>D:\DPL\ISA3\Example Implementations\NASA Tool Wear\01) N_studies_with_1_assay_each\Data_mill\Case_11\Sensor\smcAC\Case_11_time_run_08.csv</v>
      </c>
      <c r="F101" s="33" t="str">
        <f t="shared" ca="1" si="9"/>
        <v>D:\DPL\ISA3\Example Implementations\NASA Tool Wear\01) N_studies_with_1_assay_each\Data_mill\Case_11\Sensor\smcDC\Case_11_time_run_08.csv</v>
      </c>
      <c r="G101" s="33" t="str">
        <f t="shared" ca="1" si="9"/>
        <v>D:\DPL\ISA3\Example Implementations\NASA Tool Wear\01) N_studies_with_1_assay_each\Data_mill\Case_11\Sensor\AE_table\Case_11_time_run_08.csv</v>
      </c>
      <c r="H101" s="33" t="str">
        <f t="shared" ca="1" si="9"/>
        <v>D:\DPL\ISA3\Example Implementations\NASA Tool Wear\01) N_studies_with_1_assay_each\Data_mill\Case_11\Sensor\AE_spindle\Case_11_time_run_08.csv</v>
      </c>
      <c r="I101" s="33"/>
      <c r="J101" s="33"/>
      <c r="K101" s="33"/>
    </row>
    <row r="102" spans="1:11" s="24" customFormat="1" x14ac:dyDescent="0.3">
      <c r="A102" s="17" t="s">
        <v>81</v>
      </c>
      <c r="B102" s="17" t="s">
        <v>200</v>
      </c>
      <c r="C102" s="33" t="str">
        <f t="shared" ref="C102:H111" ca="1" si="10">"D:\DPL\ISA3\Example Implementations\NASA Tool Wear\01) N_studies_with_1_assay_each\Data_mill\Case_"&amp;_xlfn.TEXTAFTER($A102,"s")&amp;"\Sensor\"&amp;C$1&amp;"\Case_"&amp;_xlfn.TEXTAFTER($A102,"s")&amp;"_time_run_"&amp;_xlfn.TEXTAFTER($B102,"Run ")&amp;".csv"</f>
        <v>D:\DPL\ISA3\Example Implementations\NASA Tool Wear\01) N_studies_with_1_assay_each\Data_mill\Case_11\Sensor\vib_table\Case_11_time_run_09.csv</v>
      </c>
      <c r="D102" s="33" t="str">
        <f t="shared" ca="1" si="10"/>
        <v>D:\DPL\ISA3\Example Implementations\NASA Tool Wear\01) N_studies_with_1_assay_each\Data_mill\Case_11\Sensor\vib_spindle\Case_11_time_run_09.csv</v>
      </c>
      <c r="E102" s="33" t="str">
        <f t="shared" ca="1" si="10"/>
        <v>D:\DPL\ISA3\Example Implementations\NASA Tool Wear\01) N_studies_with_1_assay_each\Data_mill\Case_11\Sensor\smcAC\Case_11_time_run_09.csv</v>
      </c>
      <c r="F102" s="33" t="str">
        <f t="shared" ca="1" si="10"/>
        <v>D:\DPL\ISA3\Example Implementations\NASA Tool Wear\01) N_studies_with_1_assay_each\Data_mill\Case_11\Sensor\smcDC\Case_11_time_run_09.csv</v>
      </c>
      <c r="G102" s="33" t="str">
        <f t="shared" ca="1" si="10"/>
        <v>D:\DPL\ISA3\Example Implementations\NASA Tool Wear\01) N_studies_with_1_assay_each\Data_mill\Case_11\Sensor\AE_table\Case_11_time_run_09.csv</v>
      </c>
      <c r="H102" s="33" t="str">
        <f t="shared" ca="1" si="10"/>
        <v>D:\DPL\ISA3\Example Implementations\NASA Tool Wear\01) N_studies_with_1_assay_each\Data_mill\Case_11\Sensor\AE_spindle\Case_11_time_run_09.csv</v>
      </c>
      <c r="I102" s="33"/>
      <c r="J102" s="33"/>
      <c r="K102" s="33"/>
    </row>
    <row r="103" spans="1:11" s="24" customFormat="1" x14ac:dyDescent="0.3">
      <c r="A103" s="17" t="s">
        <v>81</v>
      </c>
      <c r="B103" s="17" t="s">
        <v>169</v>
      </c>
      <c r="C103" s="33" t="str">
        <f t="shared" ca="1" si="10"/>
        <v>D:\DPL\ISA3\Example Implementations\NASA Tool Wear\01) N_studies_with_1_assay_each\Data_mill\Case_11\Sensor\vib_table\Case_11_time_run_10.csv</v>
      </c>
      <c r="D103" s="33" t="str">
        <f t="shared" ca="1" si="10"/>
        <v>D:\DPL\ISA3\Example Implementations\NASA Tool Wear\01) N_studies_with_1_assay_each\Data_mill\Case_11\Sensor\vib_spindle\Case_11_time_run_10.csv</v>
      </c>
      <c r="E103" s="33" t="str">
        <f t="shared" ca="1" si="10"/>
        <v>D:\DPL\ISA3\Example Implementations\NASA Tool Wear\01) N_studies_with_1_assay_each\Data_mill\Case_11\Sensor\smcAC\Case_11_time_run_10.csv</v>
      </c>
      <c r="F103" s="33" t="str">
        <f t="shared" ca="1" si="10"/>
        <v>D:\DPL\ISA3\Example Implementations\NASA Tool Wear\01) N_studies_with_1_assay_each\Data_mill\Case_11\Sensor\smcDC\Case_11_time_run_10.csv</v>
      </c>
      <c r="G103" s="33" t="str">
        <f t="shared" ca="1" si="10"/>
        <v>D:\DPL\ISA3\Example Implementations\NASA Tool Wear\01) N_studies_with_1_assay_each\Data_mill\Case_11\Sensor\AE_table\Case_11_time_run_10.csv</v>
      </c>
      <c r="H103" s="33" t="str">
        <f t="shared" ca="1" si="10"/>
        <v>D:\DPL\ISA3\Example Implementations\NASA Tool Wear\01) N_studies_with_1_assay_each\Data_mill\Case_11\Sensor\AE_spindle\Case_11_time_run_10.csv</v>
      </c>
      <c r="I103" s="33"/>
      <c r="J103" s="33"/>
      <c r="K103" s="33"/>
    </row>
    <row r="104" spans="1:11" s="24" customFormat="1" x14ac:dyDescent="0.3">
      <c r="A104" s="17" t="s">
        <v>81</v>
      </c>
      <c r="B104" s="17" t="s">
        <v>170</v>
      </c>
      <c r="C104" s="33" t="str">
        <f t="shared" ca="1" si="10"/>
        <v>D:\DPL\ISA3\Example Implementations\NASA Tool Wear\01) N_studies_with_1_assay_each\Data_mill\Case_11\Sensor\vib_table\Case_11_time_run_11.csv</v>
      </c>
      <c r="D104" s="33" t="str">
        <f t="shared" ca="1" si="10"/>
        <v>D:\DPL\ISA3\Example Implementations\NASA Tool Wear\01) N_studies_with_1_assay_each\Data_mill\Case_11\Sensor\vib_spindle\Case_11_time_run_11.csv</v>
      </c>
      <c r="E104" s="33" t="str">
        <f t="shared" ca="1" si="10"/>
        <v>D:\DPL\ISA3\Example Implementations\NASA Tool Wear\01) N_studies_with_1_assay_each\Data_mill\Case_11\Sensor\smcAC\Case_11_time_run_11.csv</v>
      </c>
      <c r="F104" s="33" t="str">
        <f t="shared" ca="1" si="10"/>
        <v>D:\DPL\ISA3\Example Implementations\NASA Tool Wear\01) N_studies_with_1_assay_each\Data_mill\Case_11\Sensor\smcDC\Case_11_time_run_11.csv</v>
      </c>
      <c r="G104" s="33" t="str">
        <f t="shared" ca="1" si="10"/>
        <v>D:\DPL\ISA3\Example Implementations\NASA Tool Wear\01) N_studies_with_1_assay_each\Data_mill\Case_11\Sensor\AE_table\Case_11_time_run_11.csv</v>
      </c>
      <c r="H104" s="33" t="str">
        <f t="shared" ca="1" si="10"/>
        <v>D:\DPL\ISA3\Example Implementations\NASA Tool Wear\01) N_studies_with_1_assay_each\Data_mill\Case_11\Sensor\AE_spindle\Case_11_time_run_11.csv</v>
      </c>
      <c r="I104" s="33"/>
      <c r="J104" s="33"/>
      <c r="K104" s="33"/>
    </row>
    <row r="105" spans="1:11" s="24" customFormat="1" x14ac:dyDescent="0.3">
      <c r="A105" s="17" t="s">
        <v>81</v>
      </c>
      <c r="B105" s="17" t="s">
        <v>171</v>
      </c>
      <c r="C105" s="33" t="str">
        <f t="shared" ca="1" si="10"/>
        <v>D:\DPL\ISA3\Example Implementations\NASA Tool Wear\01) N_studies_with_1_assay_each\Data_mill\Case_11\Sensor\vib_table\Case_11_time_run_12.csv</v>
      </c>
      <c r="D105" s="33" t="str">
        <f t="shared" ca="1" si="10"/>
        <v>D:\DPL\ISA3\Example Implementations\NASA Tool Wear\01) N_studies_with_1_assay_each\Data_mill\Case_11\Sensor\vib_spindle\Case_11_time_run_12.csv</v>
      </c>
      <c r="E105" s="33" t="str">
        <f t="shared" ca="1" si="10"/>
        <v>D:\DPL\ISA3\Example Implementations\NASA Tool Wear\01) N_studies_with_1_assay_each\Data_mill\Case_11\Sensor\smcAC\Case_11_time_run_12.csv</v>
      </c>
      <c r="F105" s="33" t="str">
        <f t="shared" ca="1" si="10"/>
        <v>D:\DPL\ISA3\Example Implementations\NASA Tool Wear\01) N_studies_with_1_assay_each\Data_mill\Case_11\Sensor\smcDC\Case_11_time_run_12.csv</v>
      </c>
      <c r="G105" s="33" t="str">
        <f t="shared" ca="1" si="10"/>
        <v>D:\DPL\ISA3\Example Implementations\NASA Tool Wear\01) N_studies_with_1_assay_each\Data_mill\Case_11\Sensor\AE_table\Case_11_time_run_12.csv</v>
      </c>
      <c r="H105" s="33" t="str">
        <f t="shared" ca="1" si="10"/>
        <v>D:\DPL\ISA3\Example Implementations\NASA Tool Wear\01) N_studies_with_1_assay_each\Data_mill\Case_11\Sensor\AE_spindle\Case_11_time_run_12.csv</v>
      </c>
      <c r="I105" s="33"/>
      <c r="J105" s="33"/>
      <c r="K105" s="33"/>
    </row>
    <row r="106" spans="1:11" s="24" customFormat="1" x14ac:dyDescent="0.3">
      <c r="A106" s="17" t="s">
        <v>81</v>
      </c>
      <c r="B106" s="17" t="s">
        <v>172</v>
      </c>
      <c r="C106" s="33" t="str">
        <f t="shared" ca="1" si="10"/>
        <v>D:\DPL\ISA3\Example Implementations\NASA Tool Wear\01) N_studies_with_1_assay_each\Data_mill\Case_11\Sensor\vib_table\Case_11_time_run_13.csv</v>
      </c>
      <c r="D106" s="33" t="str">
        <f t="shared" ca="1" si="10"/>
        <v>D:\DPL\ISA3\Example Implementations\NASA Tool Wear\01) N_studies_with_1_assay_each\Data_mill\Case_11\Sensor\vib_spindle\Case_11_time_run_13.csv</v>
      </c>
      <c r="E106" s="33" t="str">
        <f t="shared" ca="1" si="10"/>
        <v>D:\DPL\ISA3\Example Implementations\NASA Tool Wear\01) N_studies_with_1_assay_each\Data_mill\Case_11\Sensor\smcAC\Case_11_time_run_13.csv</v>
      </c>
      <c r="F106" s="33" t="str">
        <f t="shared" ca="1" si="10"/>
        <v>D:\DPL\ISA3\Example Implementations\NASA Tool Wear\01) N_studies_with_1_assay_each\Data_mill\Case_11\Sensor\smcDC\Case_11_time_run_13.csv</v>
      </c>
      <c r="G106" s="33" t="str">
        <f t="shared" ca="1" si="10"/>
        <v>D:\DPL\ISA3\Example Implementations\NASA Tool Wear\01) N_studies_with_1_assay_each\Data_mill\Case_11\Sensor\AE_table\Case_11_time_run_13.csv</v>
      </c>
      <c r="H106" s="33" t="str">
        <f t="shared" ca="1" si="10"/>
        <v>D:\DPL\ISA3\Example Implementations\NASA Tool Wear\01) N_studies_with_1_assay_each\Data_mill\Case_11\Sensor\AE_spindle\Case_11_time_run_13.csv</v>
      </c>
      <c r="I106" s="33"/>
      <c r="J106" s="33"/>
      <c r="K106" s="33"/>
    </row>
    <row r="107" spans="1:11" s="24" customFormat="1" x14ac:dyDescent="0.3">
      <c r="A107" s="17" t="s">
        <v>81</v>
      </c>
      <c r="B107" s="17" t="s">
        <v>173</v>
      </c>
      <c r="C107" s="33" t="str">
        <f t="shared" ca="1" si="10"/>
        <v>D:\DPL\ISA3\Example Implementations\NASA Tool Wear\01) N_studies_with_1_assay_each\Data_mill\Case_11\Sensor\vib_table\Case_11_time_run_14.csv</v>
      </c>
      <c r="D107" s="33" t="str">
        <f t="shared" ca="1" si="10"/>
        <v>D:\DPL\ISA3\Example Implementations\NASA Tool Wear\01) N_studies_with_1_assay_each\Data_mill\Case_11\Sensor\vib_spindle\Case_11_time_run_14.csv</v>
      </c>
      <c r="E107" s="33" t="str">
        <f t="shared" ca="1" si="10"/>
        <v>D:\DPL\ISA3\Example Implementations\NASA Tool Wear\01) N_studies_with_1_assay_each\Data_mill\Case_11\Sensor\smcAC\Case_11_time_run_14.csv</v>
      </c>
      <c r="F107" s="33" t="str">
        <f t="shared" ca="1" si="10"/>
        <v>D:\DPL\ISA3\Example Implementations\NASA Tool Wear\01) N_studies_with_1_assay_each\Data_mill\Case_11\Sensor\smcDC\Case_11_time_run_14.csv</v>
      </c>
      <c r="G107" s="33" t="str">
        <f t="shared" ca="1" si="10"/>
        <v>D:\DPL\ISA3\Example Implementations\NASA Tool Wear\01) N_studies_with_1_assay_each\Data_mill\Case_11\Sensor\AE_table\Case_11_time_run_14.csv</v>
      </c>
      <c r="H107" s="33" t="str">
        <f t="shared" ca="1" si="10"/>
        <v>D:\DPL\ISA3\Example Implementations\NASA Tool Wear\01) N_studies_with_1_assay_each\Data_mill\Case_11\Sensor\AE_spindle\Case_11_time_run_14.csv</v>
      </c>
      <c r="I107" s="33"/>
      <c r="J107" s="33"/>
      <c r="K107" s="33"/>
    </row>
    <row r="108" spans="1:11" s="24" customFormat="1" x14ac:dyDescent="0.3">
      <c r="A108" s="17" t="s">
        <v>81</v>
      </c>
      <c r="B108" s="17" t="s">
        <v>174</v>
      </c>
      <c r="C108" s="33" t="str">
        <f t="shared" ca="1" si="10"/>
        <v>D:\DPL\ISA3\Example Implementations\NASA Tool Wear\01) N_studies_with_1_assay_each\Data_mill\Case_11\Sensor\vib_table\Case_11_time_run_15.csv</v>
      </c>
      <c r="D108" s="33" t="str">
        <f t="shared" ca="1" si="10"/>
        <v>D:\DPL\ISA3\Example Implementations\NASA Tool Wear\01) N_studies_with_1_assay_each\Data_mill\Case_11\Sensor\vib_spindle\Case_11_time_run_15.csv</v>
      </c>
      <c r="E108" s="33" t="str">
        <f t="shared" ca="1" si="10"/>
        <v>D:\DPL\ISA3\Example Implementations\NASA Tool Wear\01) N_studies_with_1_assay_each\Data_mill\Case_11\Sensor\smcAC\Case_11_time_run_15.csv</v>
      </c>
      <c r="F108" s="33" t="str">
        <f t="shared" ca="1" si="10"/>
        <v>D:\DPL\ISA3\Example Implementations\NASA Tool Wear\01) N_studies_with_1_assay_each\Data_mill\Case_11\Sensor\smcDC\Case_11_time_run_15.csv</v>
      </c>
      <c r="G108" s="33" t="str">
        <f t="shared" ca="1" si="10"/>
        <v>D:\DPL\ISA3\Example Implementations\NASA Tool Wear\01) N_studies_with_1_assay_each\Data_mill\Case_11\Sensor\AE_table\Case_11_time_run_15.csv</v>
      </c>
      <c r="H108" s="33" t="str">
        <f t="shared" ca="1" si="10"/>
        <v>D:\DPL\ISA3\Example Implementations\NASA Tool Wear\01) N_studies_with_1_assay_each\Data_mill\Case_11\Sensor\AE_spindle\Case_11_time_run_15.csv</v>
      </c>
      <c r="I108" s="33"/>
      <c r="J108" s="33"/>
      <c r="K108" s="33"/>
    </row>
    <row r="109" spans="1:11" x14ac:dyDescent="0.3">
      <c r="A109" s="17" t="s">
        <v>81</v>
      </c>
      <c r="B109" s="17" t="s">
        <v>175</v>
      </c>
      <c r="C109" s="33" t="str">
        <f t="shared" ca="1" si="10"/>
        <v>D:\DPL\ISA3\Example Implementations\NASA Tool Wear\01) N_studies_with_1_assay_each\Data_mill\Case_11\Sensor\vib_table\Case_11_time_run_16.csv</v>
      </c>
      <c r="D109" s="33" t="str">
        <f t="shared" ca="1" si="10"/>
        <v>D:\DPL\ISA3\Example Implementations\NASA Tool Wear\01) N_studies_with_1_assay_each\Data_mill\Case_11\Sensor\vib_spindle\Case_11_time_run_16.csv</v>
      </c>
      <c r="E109" s="33" t="str">
        <f t="shared" ca="1" si="10"/>
        <v>D:\DPL\ISA3\Example Implementations\NASA Tool Wear\01) N_studies_with_1_assay_each\Data_mill\Case_11\Sensor\smcAC\Case_11_time_run_16.csv</v>
      </c>
      <c r="F109" s="33" t="str">
        <f t="shared" ca="1" si="10"/>
        <v>D:\DPL\ISA3\Example Implementations\NASA Tool Wear\01) N_studies_with_1_assay_each\Data_mill\Case_11\Sensor\smcDC\Case_11_time_run_16.csv</v>
      </c>
      <c r="G109" s="33" t="str">
        <f t="shared" ca="1" si="10"/>
        <v>D:\DPL\ISA3\Example Implementations\NASA Tool Wear\01) N_studies_with_1_assay_each\Data_mill\Case_11\Sensor\AE_table\Case_11_time_run_16.csv</v>
      </c>
      <c r="H109" s="33" t="str">
        <f t="shared" ca="1" si="10"/>
        <v>D:\DPL\ISA3\Example Implementations\NASA Tool Wear\01) N_studies_with_1_assay_each\Data_mill\Case_11\Sensor\AE_spindle\Case_11_time_run_16.csv</v>
      </c>
      <c r="I109" s="33"/>
      <c r="J109" s="33"/>
      <c r="K109" s="33"/>
    </row>
    <row r="110" spans="1:11" x14ac:dyDescent="0.3">
      <c r="A110" s="17" t="s">
        <v>81</v>
      </c>
      <c r="B110" s="17" t="s">
        <v>176</v>
      </c>
      <c r="C110" s="33" t="str">
        <f t="shared" ca="1" si="10"/>
        <v>D:\DPL\ISA3\Example Implementations\NASA Tool Wear\01) N_studies_with_1_assay_each\Data_mill\Case_11\Sensor\vib_table\Case_11_time_run_17.csv</v>
      </c>
      <c r="D110" s="33" t="str">
        <f t="shared" ca="1" si="10"/>
        <v>D:\DPL\ISA3\Example Implementations\NASA Tool Wear\01) N_studies_with_1_assay_each\Data_mill\Case_11\Sensor\vib_spindle\Case_11_time_run_17.csv</v>
      </c>
      <c r="E110" s="33" t="str">
        <f t="shared" ca="1" si="10"/>
        <v>D:\DPL\ISA3\Example Implementations\NASA Tool Wear\01) N_studies_with_1_assay_each\Data_mill\Case_11\Sensor\smcAC\Case_11_time_run_17.csv</v>
      </c>
      <c r="F110" s="33" t="str">
        <f t="shared" ca="1" si="10"/>
        <v>D:\DPL\ISA3\Example Implementations\NASA Tool Wear\01) N_studies_with_1_assay_each\Data_mill\Case_11\Sensor\smcDC\Case_11_time_run_17.csv</v>
      </c>
      <c r="G110" s="33" t="str">
        <f t="shared" ca="1" si="10"/>
        <v>D:\DPL\ISA3\Example Implementations\NASA Tool Wear\01) N_studies_with_1_assay_each\Data_mill\Case_11\Sensor\AE_table\Case_11_time_run_17.csv</v>
      </c>
      <c r="H110" s="33" t="str">
        <f t="shared" ca="1" si="10"/>
        <v>D:\DPL\ISA3\Example Implementations\NASA Tool Wear\01) N_studies_with_1_assay_each\Data_mill\Case_11\Sensor\AE_spindle\Case_11_time_run_17.csv</v>
      </c>
      <c r="I110" s="33"/>
      <c r="J110" s="33"/>
      <c r="K110" s="33"/>
    </row>
    <row r="111" spans="1:11" x14ac:dyDescent="0.3">
      <c r="A111" s="17" t="s">
        <v>81</v>
      </c>
      <c r="B111" s="17" t="s">
        <v>177</v>
      </c>
      <c r="C111" s="33" t="str">
        <f t="shared" ca="1" si="10"/>
        <v>D:\DPL\ISA3\Example Implementations\NASA Tool Wear\01) N_studies_with_1_assay_each\Data_mill\Case_11\Sensor\vib_table\Case_11_time_run_18.csv</v>
      </c>
      <c r="D111" s="33" t="str">
        <f t="shared" ca="1" si="10"/>
        <v>D:\DPL\ISA3\Example Implementations\NASA Tool Wear\01) N_studies_with_1_assay_each\Data_mill\Case_11\Sensor\vib_spindle\Case_11_time_run_18.csv</v>
      </c>
      <c r="E111" s="33" t="str">
        <f t="shared" ca="1" si="10"/>
        <v>D:\DPL\ISA3\Example Implementations\NASA Tool Wear\01) N_studies_with_1_assay_each\Data_mill\Case_11\Sensor\smcAC\Case_11_time_run_18.csv</v>
      </c>
      <c r="F111" s="33" t="str">
        <f t="shared" ca="1" si="10"/>
        <v>D:\DPL\ISA3\Example Implementations\NASA Tool Wear\01) N_studies_with_1_assay_each\Data_mill\Case_11\Sensor\smcDC\Case_11_time_run_18.csv</v>
      </c>
      <c r="G111" s="33" t="str">
        <f t="shared" ca="1" si="10"/>
        <v>D:\DPL\ISA3\Example Implementations\NASA Tool Wear\01) N_studies_with_1_assay_each\Data_mill\Case_11\Sensor\AE_table\Case_11_time_run_18.csv</v>
      </c>
      <c r="H111" s="33" t="str">
        <f t="shared" ca="1" si="10"/>
        <v>D:\DPL\ISA3\Example Implementations\NASA Tool Wear\01) N_studies_with_1_assay_each\Data_mill\Case_11\Sensor\AE_spindle\Case_11_time_run_18.csv</v>
      </c>
      <c r="I111" s="33"/>
      <c r="J111" s="33"/>
      <c r="K111" s="33"/>
    </row>
    <row r="112" spans="1:11" x14ac:dyDescent="0.3">
      <c r="A112" s="17" t="s">
        <v>81</v>
      </c>
      <c r="B112" s="17" t="s">
        <v>178</v>
      </c>
      <c r="C112" s="33" t="str">
        <f t="shared" ref="C112:H121" ca="1" si="11">"D:\DPL\ISA3\Example Implementations\NASA Tool Wear\01) N_studies_with_1_assay_each\Data_mill\Case_"&amp;_xlfn.TEXTAFTER($A112,"s")&amp;"\Sensor\"&amp;C$1&amp;"\Case_"&amp;_xlfn.TEXTAFTER($A112,"s")&amp;"_time_run_"&amp;_xlfn.TEXTAFTER($B112,"Run ")&amp;".csv"</f>
        <v>D:\DPL\ISA3\Example Implementations\NASA Tool Wear\01) N_studies_with_1_assay_each\Data_mill\Case_11\Sensor\vib_table\Case_11_time_run_19.csv</v>
      </c>
      <c r="D112" s="33" t="str">
        <f t="shared" ca="1" si="11"/>
        <v>D:\DPL\ISA3\Example Implementations\NASA Tool Wear\01) N_studies_with_1_assay_each\Data_mill\Case_11\Sensor\vib_spindle\Case_11_time_run_19.csv</v>
      </c>
      <c r="E112" s="33" t="str">
        <f t="shared" ca="1" si="11"/>
        <v>D:\DPL\ISA3\Example Implementations\NASA Tool Wear\01) N_studies_with_1_assay_each\Data_mill\Case_11\Sensor\smcAC\Case_11_time_run_19.csv</v>
      </c>
      <c r="F112" s="33" t="str">
        <f t="shared" ca="1" si="11"/>
        <v>D:\DPL\ISA3\Example Implementations\NASA Tool Wear\01) N_studies_with_1_assay_each\Data_mill\Case_11\Sensor\smcDC\Case_11_time_run_19.csv</v>
      </c>
      <c r="G112" s="33" t="str">
        <f t="shared" ca="1" si="11"/>
        <v>D:\DPL\ISA3\Example Implementations\NASA Tool Wear\01) N_studies_with_1_assay_each\Data_mill\Case_11\Sensor\AE_table\Case_11_time_run_19.csv</v>
      </c>
      <c r="H112" s="33" t="str">
        <f t="shared" ca="1" si="11"/>
        <v>D:\DPL\ISA3\Example Implementations\NASA Tool Wear\01) N_studies_with_1_assay_each\Data_mill\Case_11\Sensor\AE_spindle\Case_11_time_run_19.csv</v>
      </c>
      <c r="I112" s="33"/>
      <c r="J112" s="33"/>
      <c r="K112" s="33"/>
    </row>
    <row r="113" spans="1:11" x14ac:dyDescent="0.3">
      <c r="A113" s="17" t="s">
        <v>81</v>
      </c>
      <c r="B113" s="17" t="s">
        <v>179</v>
      </c>
      <c r="C113" s="33" t="str">
        <f t="shared" ca="1" si="11"/>
        <v>D:\DPL\ISA3\Example Implementations\NASA Tool Wear\01) N_studies_with_1_assay_each\Data_mill\Case_11\Sensor\vib_table\Case_11_time_run_20.csv</v>
      </c>
      <c r="D113" s="33" t="str">
        <f t="shared" ca="1" si="11"/>
        <v>D:\DPL\ISA3\Example Implementations\NASA Tool Wear\01) N_studies_with_1_assay_each\Data_mill\Case_11\Sensor\vib_spindle\Case_11_time_run_20.csv</v>
      </c>
      <c r="E113" s="33" t="str">
        <f t="shared" ca="1" si="11"/>
        <v>D:\DPL\ISA3\Example Implementations\NASA Tool Wear\01) N_studies_with_1_assay_each\Data_mill\Case_11\Sensor\smcAC\Case_11_time_run_20.csv</v>
      </c>
      <c r="F113" s="33" t="str">
        <f t="shared" ca="1" si="11"/>
        <v>D:\DPL\ISA3\Example Implementations\NASA Tool Wear\01) N_studies_with_1_assay_each\Data_mill\Case_11\Sensor\smcDC\Case_11_time_run_20.csv</v>
      </c>
      <c r="G113" s="33" t="str">
        <f t="shared" ca="1" si="11"/>
        <v>D:\DPL\ISA3\Example Implementations\NASA Tool Wear\01) N_studies_with_1_assay_each\Data_mill\Case_11\Sensor\AE_table\Case_11_time_run_20.csv</v>
      </c>
      <c r="H113" s="33" t="str">
        <f t="shared" ca="1" si="11"/>
        <v>D:\DPL\ISA3\Example Implementations\NASA Tool Wear\01) N_studies_with_1_assay_each\Data_mill\Case_11\Sensor\AE_spindle\Case_11_time_run_20.csv</v>
      </c>
      <c r="I113" s="33"/>
      <c r="J113" s="33"/>
      <c r="K113" s="33"/>
    </row>
    <row r="114" spans="1:11" x14ac:dyDescent="0.3">
      <c r="A114" s="17" t="s">
        <v>81</v>
      </c>
      <c r="B114" s="17" t="s">
        <v>180</v>
      </c>
      <c r="C114" s="33" t="str">
        <f t="shared" ca="1" si="11"/>
        <v>D:\DPL\ISA3\Example Implementations\NASA Tool Wear\01) N_studies_with_1_assay_each\Data_mill\Case_11\Sensor\vib_table\Case_11_time_run_21.csv</v>
      </c>
      <c r="D114" s="33" t="str">
        <f t="shared" ca="1" si="11"/>
        <v>D:\DPL\ISA3\Example Implementations\NASA Tool Wear\01) N_studies_with_1_assay_each\Data_mill\Case_11\Sensor\vib_spindle\Case_11_time_run_21.csv</v>
      </c>
      <c r="E114" s="33" t="str">
        <f t="shared" ca="1" si="11"/>
        <v>D:\DPL\ISA3\Example Implementations\NASA Tool Wear\01) N_studies_with_1_assay_each\Data_mill\Case_11\Sensor\smcAC\Case_11_time_run_21.csv</v>
      </c>
      <c r="F114" s="33" t="str">
        <f t="shared" ca="1" si="11"/>
        <v>D:\DPL\ISA3\Example Implementations\NASA Tool Wear\01) N_studies_with_1_assay_each\Data_mill\Case_11\Sensor\smcDC\Case_11_time_run_21.csv</v>
      </c>
      <c r="G114" s="33" t="str">
        <f t="shared" ca="1" si="11"/>
        <v>D:\DPL\ISA3\Example Implementations\NASA Tool Wear\01) N_studies_with_1_assay_each\Data_mill\Case_11\Sensor\AE_table\Case_11_time_run_21.csv</v>
      </c>
      <c r="H114" s="33" t="str">
        <f t="shared" ca="1" si="11"/>
        <v>D:\DPL\ISA3\Example Implementations\NASA Tool Wear\01) N_studies_with_1_assay_each\Data_mill\Case_11\Sensor\AE_spindle\Case_11_time_run_21.csv</v>
      </c>
      <c r="I114" s="33"/>
      <c r="J114" s="33"/>
      <c r="K114" s="33"/>
    </row>
    <row r="115" spans="1:11" x14ac:dyDescent="0.3">
      <c r="A115" s="17" t="s">
        <v>81</v>
      </c>
      <c r="B115" s="17" t="s">
        <v>181</v>
      </c>
      <c r="C115" s="33" t="str">
        <f t="shared" ca="1" si="11"/>
        <v>D:\DPL\ISA3\Example Implementations\NASA Tool Wear\01) N_studies_with_1_assay_each\Data_mill\Case_11\Sensor\vib_table\Case_11_time_run_22.csv</v>
      </c>
      <c r="D115" s="33" t="str">
        <f t="shared" ca="1" si="11"/>
        <v>D:\DPL\ISA3\Example Implementations\NASA Tool Wear\01) N_studies_with_1_assay_each\Data_mill\Case_11\Sensor\vib_spindle\Case_11_time_run_22.csv</v>
      </c>
      <c r="E115" s="33" t="str">
        <f t="shared" ca="1" si="11"/>
        <v>D:\DPL\ISA3\Example Implementations\NASA Tool Wear\01) N_studies_with_1_assay_each\Data_mill\Case_11\Sensor\smcAC\Case_11_time_run_22.csv</v>
      </c>
      <c r="F115" s="33" t="str">
        <f t="shared" ca="1" si="11"/>
        <v>D:\DPL\ISA3\Example Implementations\NASA Tool Wear\01) N_studies_with_1_assay_each\Data_mill\Case_11\Sensor\smcDC\Case_11_time_run_22.csv</v>
      </c>
      <c r="G115" s="33" t="str">
        <f t="shared" ca="1" si="11"/>
        <v>D:\DPL\ISA3\Example Implementations\NASA Tool Wear\01) N_studies_with_1_assay_each\Data_mill\Case_11\Sensor\AE_table\Case_11_time_run_22.csv</v>
      </c>
      <c r="H115" s="33" t="str">
        <f t="shared" ca="1" si="11"/>
        <v>D:\DPL\ISA3\Example Implementations\NASA Tool Wear\01) N_studies_with_1_assay_each\Data_mill\Case_11\Sensor\AE_spindle\Case_11_time_run_22.csv</v>
      </c>
      <c r="I115" s="33"/>
      <c r="J115" s="33"/>
      <c r="K115" s="33"/>
    </row>
    <row r="116" spans="1:11" s="51" customFormat="1" x14ac:dyDescent="0.3">
      <c r="A116" s="57" t="s">
        <v>81</v>
      </c>
      <c r="B116" s="57" t="s">
        <v>182</v>
      </c>
      <c r="C116" s="63" t="str">
        <f t="shared" ca="1" si="11"/>
        <v>D:\DPL\ISA3\Example Implementations\NASA Tool Wear\01) N_studies_with_1_assay_each\Data_mill\Case_11\Sensor\vib_table\Case_11_time_run_23.csv</v>
      </c>
      <c r="D116" s="63" t="str">
        <f t="shared" ca="1" si="11"/>
        <v>D:\DPL\ISA3\Example Implementations\NASA Tool Wear\01) N_studies_with_1_assay_each\Data_mill\Case_11\Sensor\vib_spindle\Case_11_time_run_23.csv</v>
      </c>
      <c r="E116" s="63" t="str">
        <f t="shared" ca="1" si="11"/>
        <v>D:\DPL\ISA3\Example Implementations\NASA Tool Wear\01) N_studies_with_1_assay_each\Data_mill\Case_11\Sensor\smcAC\Case_11_time_run_23.csv</v>
      </c>
      <c r="F116" s="63" t="str">
        <f t="shared" ca="1" si="11"/>
        <v>D:\DPL\ISA3\Example Implementations\NASA Tool Wear\01) N_studies_with_1_assay_each\Data_mill\Case_11\Sensor\smcDC\Case_11_time_run_23.csv</v>
      </c>
      <c r="G116" s="63" t="str">
        <f t="shared" ca="1" si="11"/>
        <v>D:\DPL\ISA3\Example Implementations\NASA Tool Wear\01) N_studies_with_1_assay_each\Data_mill\Case_11\Sensor\AE_table\Case_11_time_run_23.csv</v>
      </c>
      <c r="H116" s="63" t="str">
        <f t="shared" ca="1" si="11"/>
        <v>D:\DPL\ISA3\Example Implementations\NASA Tool Wear\01) N_studies_with_1_assay_each\Data_mill\Case_11\Sensor\AE_spindle\Case_11_time_run_23.csv</v>
      </c>
      <c r="I116" s="63"/>
      <c r="J116" s="63"/>
      <c r="K116" s="63"/>
    </row>
    <row r="117" spans="1:11" x14ac:dyDescent="0.3">
      <c r="A117" s="17" t="s">
        <v>82</v>
      </c>
      <c r="B117" s="17" t="s">
        <v>192</v>
      </c>
      <c r="C117" s="33" t="str">
        <f t="shared" ca="1" si="11"/>
        <v>D:\DPL\ISA3\Example Implementations\NASA Tool Wear\01) N_studies_with_1_assay_each\Data_mill\Case_12\Sensor\vib_table\Case_12_time_run_01.csv</v>
      </c>
      <c r="D117" s="33" t="str">
        <f t="shared" ca="1" si="11"/>
        <v>D:\DPL\ISA3\Example Implementations\NASA Tool Wear\01) N_studies_with_1_assay_each\Data_mill\Case_12\Sensor\vib_spindle\Case_12_time_run_01.csv</v>
      </c>
      <c r="E117" s="33" t="str">
        <f t="shared" ca="1" si="11"/>
        <v>D:\DPL\ISA3\Example Implementations\NASA Tool Wear\01) N_studies_with_1_assay_each\Data_mill\Case_12\Sensor\smcAC\Case_12_time_run_01.csv</v>
      </c>
      <c r="F117" s="33" t="str">
        <f t="shared" ca="1" si="11"/>
        <v>D:\DPL\ISA3\Example Implementations\NASA Tool Wear\01) N_studies_with_1_assay_each\Data_mill\Case_12\Sensor\smcDC\Case_12_time_run_01.csv</v>
      </c>
      <c r="G117" s="33" t="str">
        <f t="shared" ca="1" si="11"/>
        <v>D:\DPL\ISA3\Example Implementations\NASA Tool Wear\01) N_studies_with_1_assay_each\Data_mill\Case_12\Sensor\AE_table\Case_12_time_run_01.csv</v>
      </c>
      <c r="H117" s="33" t="str">
        <f t="shared" ca="1" si="11"/>
        <v>D:\DPL\ISA3\Example Implementations\NASA Tool Wear\01) N_studies_with_1_assay_each\Data_mill\Case_12\Sensor\AE_spindle\Case_12_time_run_01.csv</v>
      </c>
      <c r="I117" s="33"/>
      <c r="J117" s="33"/>
      <c r="K117" s="33"/>
    </row>
    <row r="118" spans="1:11" x14ac:dyDescent="0.3">
      <c r="A118" s="17" t="s">
        <v>82</v>
      </c>
      <c r="B118" s="17" t="s">
        <v>193</v>
      </c>
      <c r="C118" s="33" t="str">
        <f t="shared" ca="1" si="11"/>
        <v>D:\DPL\ISA3\Example Implementations\NASA Tool Wear\01) N_studies_with_1_assay_each\Data_mill\Case_12\Sensor\vib_table\Case_12_time_run_02.csv</v>
      </c>
      <c r="D118" s="33" t="str">
        <f t="shared" ca="1" si="11"/>
        <v>D:\DPL\ISA3\Example Implementations\NASA Tool Wear\01) N_studies_with_1_assay_each\Data_mill\Case_12\Sensor\vib_spindle\Case_12_time_run_02.csv</v>
      </c>
      <c r="E118" s="33" t="str">
        <f t="shared" ca="1" si="11"/>
        <v>D:\DPL\ISA3\Example Implementations\NASA Tool Wear\01) N_studies_with_1_assay_each\Data_mill\Case_12\Sensor\smcAC\Case_12_time_run_02.csv</v>
      </c>
      <c r="F118" s="33" t="str">
        <f t="shared" ca="1" si="11"/>
        <v>D:\DPL\ISA3\Example Implementations\NASA Tool Wear\01) N_studies_with_1_assay_each\Data_mill\Case_12\Sensor\smcDC\Case_12_time_run_02.csv</v>
      </c>
      <c r="G118" s="33" t="str">
        <f t="shared" ca="1" si="11"/>
        <v>D:\DPL\ISA3\Example Implementations\NASA Tool Wear\01) N_studies_with_1_assay_each\Data_mill\Case_12\Sensor\AE_table\Case_12_time_run_02.csv</v>
      </c>
      <c r="H118" s="33" t="str">
        <f t="shared" ca="1" si="11"/>
        <v>D:\DPL\ISA3\Example Implementations\NASA Tool Wear\01) N_studies_with_1_assay_each\Data_mill\Case_12\Sensor\AE_spindle\Case_12_time_run_02.csv</v>
      </c>
      <c r="I118" s="33"/>
      <c r="J118" s="33"/>
      <c r="K118" s="33"/>
    </row>
    <row r="119" spans="1:11" x14ac:dyDescent="0.3">
      <c r="A119" s="17" t="s">
        <v>82</v>
      </c>
      <c r="B119" s="17" t="s">
        <v>194</v>
      </c>
      <c r="C119" s="33" t="str">
        <f t="shared" ca="1" si="11"/>
        <v>D:\DPL\ISA3\Example Implementations\NASA Tool Wear\01) N_studies_with_1_assay_each\Data_mill\Case_12\Sensor\vib_table\Case_12_time_run_03.csv</v>
      </c>
      <c r="D119" s="33" t="str">
        <f t="shared" ca="1" si="11"/>
        <v>D:\DPL\ISA3\Example Implementations\NASA Tool Wear\01) N_studies_with_1_assay_each\Data_mill\Case_12\Sensor\vib_spindle\Case_12_time_run_03.csv</v>
      </c>
      <c r="E119" s="33" t="str">
        <f t="shared" ca="1" si="11"/>
        <v>D:\DPL\ISA3\Example Implementations\NASA Tool Wear\01) N_studies_with_1_assay_each\Data_mill\Case_12\Sensor\smcAC\Case_12_time_run_03.csv</v>
      </c>
      <c r="F119" s="33" t="str">
        <f t="shared" ca="1" si="11"/>
        <v>D:\DPL\ISA3\Example Implementations\NASA Tool Wear\01) N_studies_with_1_assay_each\Data_mill\Case_12\Sensor\smcDC\Case_12_time_run_03.csv</v>
      </c>
      <c r="G119" s="33" t="str">
        <f t="shared" ca="1" si="11"/>
        <v>D:\DPL\ISA3\Example Implementations\NASA Tool Wear\01) N_studies_with_1_assay_each\Data_mill\Case_12\Sensor\AE_table\Case_12_time_run_03.csv</v>
      </c>
      <c r="H119" s="33" t="str">
        <f t="shared" ca="1" si="11"/>
        <v>D:\DPL\ISA3\Example Implementations\NASA Tool Wear\01) N_studies_with_1_assay_each\Data_mill\Case_12\Sensor\AE_spindle\Case_12_time_run_03.csv</v>
      </c>
      <c r="I119" s="33"/>
      <c r="J119" s="33"/>
      <c r="K119" s="33"/>
    </row>
    <row r="120" spans="1:11" x14ac:dyDescent="0.3">
      <c r="A120" s="17" t="s">
        <v>82</v>
      </c>
      <c r="B120" s="17" t="s">
        <v>195</v>
      </c>
      <c r="C120" s="33" t="str">
        <f t="shared" ca="1" si="11"/>
        <v>D:\DPL\ISA3\Example Implementations\NASA Tool Wear\01) N_studies_with_1_assay_each\Data_mill\Case_12\Sensor\vib_table\Case_12_time_run_04.csv</v>
      </c>
      <c r="D120" s="33" t="str">
        <f t="shared" ca="1" si="11"/>
        <v>D:\DPL\ISA3\Example Implementations\NASA Tool Wear\01) N_studies_with_1_assay_each\Data_mill\Case_12\Sensor\vib_spindle\Case_12_time_run_04.csv</v>
      </c>
      <c r="E120" s="33" t="str">
        <f t="shared" ca="1" si="11"/>
        <v>D:\DPL\ISA3\Example Implementations\NASA Tool Wear\01) N_studies_with_1_assay_each\Data_mill\Case_12\Sensor\smcAC\Case_12_time_run_04.csv</v>
      </c>
      <c r="F120" s="33" t="str">
        <f t="shared" ca="1" si="11"/>
        <v>D:\DPL\ISA3\Example Implementations\NASA Tool Wear\01) N_studies_with_1_assay_each\Data_mill\Case_12\Sensor\smcDC\Case_12_time_run_04.csv</v>
      </c>
      <c r="G120" s="33" t="str">
        <f t="shared" ca="1" si="11"/>
        <v>D:\DPL\ISA3\Example Implementations\NASA Tool Wear\01) N_studies_with_1_assay_each\Data_mill\Case_12\Sensor\AE_table\Case_12_time_run_04.csv</v>
      </c>
      <c r="H120" s="33" t="str">
        <f t="shared" ca="1" si="11"/>
        <v>D:\DPL\ISA3\Example Implementations\NASA Tool Wear\01) N_studies_with_1_assay_each\Data_mill\Case_12\Sensor\AE_spindle\Case_12_time_run_04.csv</v>
      </c>
      <c r="I120" s="33"/>
      <c r="J120" s="33"/>
      <c r="K120" s="33"/>
    </row>
    <row r="121" spans="1:11" x14ac:dyDescent="0.3">
      <c r="A121" s="17" t="s">
        <v>82</v>
      </c>
      <c r="B121" s="17" t="s">
        <v>196</v>
      </c>
      <c r="C121" s="33" t="str">
        <f t="shared" ca="1" si="11"/>
        <v>D:\DPL\ISA3\Example Implementations\NASA Tool Wear\01) N_studies_with_1_assay_each\Data_mill\Case_12\Sensor\vib_table\Case_12_time_run_05.csv</v>
      </c>
      <c r="D121" s="33" t="str">
        <f t="shared" ca="1" si="11"/>
        <v>D:\DPL\ISA3\Example Implementations\NASA Tool Wear\01) N_studies_with_1_assay_each\Data_mill\Case_12\Sensor\vib_spindle\Case_12_time_run_05.csv</v>
      </c>
      <c r="E121" s="33" t="str">
        <f t="shared" ca="1" si="11"/>
        <v>D:\DPL\ISA3\Example Implementations\NASA Tool Wear\01) N_studies_with_1_assay_each\Data_mill\Case_12\Sensor\smcAC\Case_12_time_run_05.csv</v>
      </c>
      <c r="F121" s="33" t="str">
        <f t="shared" ca="1" si="11"/>
        <v>D:\DPL\ISA3\Example Implementations\NASA Tool Wear\01) N_studies_with_1_assay_each\Data_mill\Case_12\Sensor\smcDC\Case_12_time_run_05.csv</v>
      </c>
      <c r="G121" s="33" t="str">
        <f t="shared" ca="1" si="11"/>
        <v>D:\DPL\ISA3\Example Implementations\NASA Tool Wear\01) N_studies_with_1_assay_each\Data_mill\Case_12\Sensor\AE_table\Case_12_time_run_05.csv</v>
      </c>
      <c r="H121" s="33" t="str">
        <f t="shared" ca="1" si="11"/>
        <v>D:\DPL\ISA3\Example Implementations\NASA Tool Wear\01) N_studies_with_1_assay_each\Data_mill\Case_12\Sensor\AE_spindle\Case_12_time_run_05.csv</v>
      </c>
      <c r="I121" s="33"/>
      <c r="J121" s="33"/>
      <c r="K121" s="33"/>
    </row>
    <row r="122" spans="1:11" x14ac:dyDescent="0.3">
      <c r="A122" s="17" t="s">
        <v>82</v>
      </c>
      <c r="B122" s="17" t="s">
        <v>197</v>
      </c>
      <c r="C122" s="33" t="str">
        <f t="shared" ref="C122:H131" ca="1" si="12">"D:\DPL\ISA3\Example Implementations\NASA Tool Wear\01) N_studies_with_1_assay_each\Data_mill\Case_"&amp;_xlfn.TEXTAFTER($A122,"s")&amp;"\Sensor\"&amp;C$1&amp;"\Case_"&amp;_xlfn.TEXTAFTER($A122,"s")&amp;"_time_run_"&amp;_xlfn.TEXTAFTER($B122,"Run ")&amp;".csv"</f>
        <v>D:\DPL\ISA3\Example Implementations\NASA Tool Wear\01) N_studies_with_1_assay_each\Data_mill\Case_12\Sensor\vib_table\Case_12_time_run_06.csv</v>
      </c>
      <c r="D122" s="33" t="str">
        <f t="shared" ca="1" si="12"/>
        <v>D:\DPL\ISA3\Example Implementations\NASA Tool Wear\01) N_studies_with_1_assay_each\Data_mill\Case_12\Sensor\vib_spindle\Case_12_time_run_06.csv</v>
      </c>
      <c r="E122" s="33" t="str">
        <f t="shared" ca="1" si="12"/>
        <v>D:\DPL\ISA3\Example Implementations\NASA Tool Wear\01) N_studies_with_1_assay_each\Data_mill\Case_12\Sensor\smcAC\Case_12_time_run_06.csv</v>
      </c>
      <c r="F122" s="33" t="str">
        <f t="shared" ca="1" si="12"/>
        <v>D:\DPL\ISA3\Example Implementations\NASA Tool Wear\01) N_studies_with_1_assay_each\Data_mill\Case_12\Sensor\smcDC\Case_12_time_run_06.csv</v>
      </c>
      <c r="G122" s="33" t="str">
        <f t="shared" ca="1" si="12"/>
        <v>D:\DPL\ISA3\Example Implementations\NASA Tool Wear\01) N_studies_with_1_assay_each\Data_mill\Case_12\Sensor\AE_table\Case_12_time_run_06.csv</v>
      </c>
      <c r="H122" s="33" t="str">
        <f t="shared" ca="1" si="12"/>
        <v>D:\DPL\ISA3\Example Implementations\NASA Tool Wear\01) N_studies_with_1_assay_each\Data_mill\Case_12\Sensor\AE_spindle\Case_12_time_run_06.csv</v>
      </c>
      <c r="I122" s="33"/>
      <c r="J122" s="33"/>
      <c r="K122" s="33"/>
    </row>
    <row r="123" spans="1:11" x14ac:dyDescent="0.3">
      <c r="A123" s="17" t="s">
        <v>82</v>
      </c>
      <c r="B123" s="17" t="s">
        <v>198</v>
      </c>
      <c r="C123" s="33" t="str">
        <f t="shared" ca="1" si="12"/>
        <v>D:\DPL\ISA3\Example Implementations\NASA Tool Wear\01) N_studies_with_1_assay_each\Data_mill\Case_12\Sensor\vib_table\Case_12_time_run_07.csv</v>
      </c>
      <c r="D123" s="33" t="str">
        <f t="shared" ca="1" si="12"/>
        <v>D:\DPL\ISA3\Example Implementations\NASA Tool Wear\01) N_studies_with_1_assay_each\Data_mill\Case_12\Sensor\vib_spindle\Case_12_time_run_07.csv</v>
      </c>
      <c r="E123" s="33" t="str">
        <f t="shared" ca="1" si="12"/>
        <v>D:\DPL\ISA3\Example Implementations\NASA Tool Wear\01) N_studies_with_1_assay_each\Data_mill\Case_12\Sensor\smcAC\Case_12_time_run_07.csv</v>
      </c>
      <c r="F123" s="33" t="str">
        <f t="shared" ca="1" si="12"/>
        <v>D:\DPL\ISA3\Example Implementations\NASA Tool Wear\01) N_studies_with_1_assay_each\Data_mill\Case_12\Sensor\smcDC\Case_12_time_run_07.csv</v>
      </c>
      <c r="G123" s="33" t="str">
        <f t="shared" ca="1" si="12"/>
        <v>D:\DPL\ISA3\Example Implementations\NASA Tool Wear\01) N_studies_with_1_assay_each\Data_mill\Case_12\Sensor\AE_table\Case_12_time_run_07.csv</v>
      </c>
      <c r="H123" s="33" t="str">
        <f t="shared" ca="1" si="12"/>
        <v>D:\DPL\ISA3\Example Implementations\NASA Tool Wear\01) N_studies_with_1_assay_each\Data_mill\Case_12\Sensor\AE_spindle\Case_12_time_run_07.csv</v>
      </c>
      <c r="I123" s="33"/>
      <c r="J123" s="33"/>
      <c r="K123" s="33"/>
    </row>
    <row r="124" spans="1:11" x14ac:dyDescent="0.3">
      <c r="A124" s="17" t="s">
        <v>82</v>
      </c>
      <c r="B124" s="17" t="s">
        <v>199</v>
      </c>
      <c r="C124" s="33" t="str">
        <f t="shared" ca="1" si="12"/>
        <v>D:\DPL\ISA3\Example Implementations\NASA Tool Wear\01) N_studies_with_1_assay_each\Data_mill\Case_12\Sensor\vib_table\Case_12_time_run_08.csv</v>
      </c>
      <c r="D124" s="33" t="str">
        <f t="shared" ca="1" si="12"/>
        <v>D:\DPL\ISA3\Example Implementations\NASA Tool Wear\01) N_studies_with_1_assay_each\Data_mill\Case_12\Sensor\vib_spindle\Case_12_time_run_08.csv</v>
      </c>
      <c r="E124" s="33" t="str">
        <f t="shared" ca="1" si="12"/>
        <v>D:\DPL\ISA3\Example Implementations\NASA Tool Wear\01) N_studies_with_1_assay_each\Data_mill\Case_12\Sensor\smcAC\Case_12_time_run_08.csv</v>
      </c>
      <c r="F124" s="33" t="str">
        <f t="shared" ca="1" si="12"/>
        <v>D:\DPL\ISA3\Example Implementations\NASA Tool Wear\01) N_studies_with_1_assay_each\Data_mill\Case_12\Sensor\smcDC\Case_12_time_run_08.csv</v>
      </c>
      <c r="G124" s="33" t="str">
        <f t="shared" ca="1" si="12"/>
        <v>D:\DPL\ISA3\Example Implementations\NASA Tool Wear\01) N_studies_with_1_assay_each\Data_mill\Case_12\Sensor\AE_table\Case_12_time_run_08.csv</v>
      </c>
      <c r="H124" s="33" t="str">
        <f t="shared" ca="1" si="12"/>
        <v>D:\DPL\ISA3\Example Implementations\NASA Tool Wear\01) N_studies_with_1_assay_each\Data_mill\Case_12\Sensor\AE_spindle\Case_12_time_run_08.csv</v>
      </c>
      <c r="I124" s="33"/>
      <c r="J124" s="33"/>
      <c r="K124" s="33"/>
    </row>
    <row r="125" spans="1:11" x14ac:dyDescent="0.3">
      <c r="A125" s="17" t="s">
        <v>82</v>
      </c>
      <c r="B125" s="17" t="s">
        <v>200</v>
      </c>
      <c r="C125" s="33" t="str">
        <f t="shared" ca="1" si="12"/>
        <v>D:\DPL\ISA3\Example Implementations\NASA Tool Wear\01) N_studies_with_1_assay_each\Data_mill\Case_12\Sensor\vib_table\Case_12_time_run_09.csv</v>
      </c>
      <c r="D125" s="33" t="str">
        <f t="shared" ca="1" si="12"/>
        <v>D:\DPL\ISA3\Example Implementations\NASA Tool Wear\01) N_studies_with_1_assay_each\Data_mill\Case_12\Sensor\vib_spindle\Case_12_time_run_09.csv</v>
      </c>
      <c r="E125" s="33" t="str">
        <f t="shared" ca="1" si="12"/>
        <v>D:\DPL\ISA3\Example Implementations\NASA Tool Wear\01) N_studies_with_1_assay_each\Data_mill\Case_12\Sensor\smcAC\Case_12_time_run_09.csv</v>
      </c>
      <c r="F125" s="33" t="str">
        <f t="shared" ca="1" si="12"/>
        <v>D:\DPL\ISA3\Example Implementations\NASA Tool Wear\01) N_studies_with_1_assay_each\Data_mill\Case_12\Sensor\smcDC\Case_12_time_run_09.csv</v>
      </c>
      <c r="G125" s="33" t="str">
        <f t="shared" ca="1" si="12"/>
        <v>D:\DPL\ISA3\Example Implementations\NASA Tool Wear\01) N_studies_with_1_assay_each\Data_mill\Case_12\Sensor\AE_table\Case_12_time_run_09.csv</v>
      </c>
      <c r="H125" s="33" t="str">
        <f t="shared" ca="1" si="12"/>
        <v>D:\DPL\ISA3\Example Implementations\NASA Tool Wear\01) N_studies_with_1_assay_each\Data_mill\Case_12\Sensor\AE_spindle\Case_12_time_run_09.csv</v>
      </c>
      <c r="I125" s="33"/>
      <c r="J125" s="33"/>
      <c r="K125" s="33"/>
    </row>
    <row r="126" spans="1:11" x14ac:dyDescent="0.3">
      <c r="A126" s="17" t="s">
        <v>82</v>
      </c>
      <c r="B126" s="17" t="s">
        <v>169</v>
      </c>
      <c r="C126" s="33" t="str">
        <f t="shared" ca="1" si="12"/>
        <v>D:\DPL\ISA3\Example Implementations\NASA Tool Wear\01) N_studies_with_1_assay_each\Data_mill\Case_12\Sensor\vib_table\Case_12_time_run_10.csv</v>
      </c>
      <c r="D126" s="33" t="str">
        <f t="shared" ca="1" si="12"/>
        <v>D:\DPL\ISA3\Example Implementations\NASA Tool Wear\01) N_studies_with_1_assay_each\Data_mill\Case_12\Sensor\vib_spindle\Case_12_time_run_10.csv</v>
      </c>
      <c r="E126" s="33" t="str">
        <f t="shared" ca="1" si="12"/>
        <v>D:\DPL\ISA3\Example Implementations\NASA Tool Wear\01) N_studies_with_1_assay_each\Data_mill\Case_12\Sensor\smcAC\Case_12_time_run_10.csv</v>
      </c>
      <c r="F126" s="33" t="str">
        <f t="shared" ca="1" si="12"/>
        <v>D:\DPL\ISA3\Example Implementations\NASA Tool Wear\01) N_studies_with_1_assay_each\Data_mill\Case_12\Sensor\smcDC\Case_12_time_run_10.csv</v>
      </c>
      <c r="G126" s="33" t="str">
        <f t="shared" ca="1" si="12"/>
        <v>D:\DPL\ISA3\Example Implementations\NASA Tool Wear\01) N_studies_with_1_assay_each\Data_mill\Case_12\Sensor\AE_table\Case_12_time_run_10.csv</v>
      </c>
      <c r="H126" s="33" t="str">
        <f t="shared" ca="1" si="12"/>
        <v>D:\DPL\ISA3\Example Implementations\NASA Tool Wear\01) N_studies_with_1_assay_each\Data_mill\Case_12\Sensor\AE_spindle\Case_12_time_run_10.csv</v>
      </c>
      <c r="I126" s="33"/>
      <c r="J126" s="33"/>
      <c r="K126" s="33"/>
    </row>
    <row r="127" spans="1:11" x14ac:dyDescent="0.3">
      <c r="A127" s="17" t="s">
        <v>82</v>
      </c>
      <c r="B127" s="17" t="s">
        <v>170</v>
      </c>
      <c r="C127" s="33" t="str">
        <f t="shared" ca="1" si="12"/>
        <v>D:\DPL\ISA3\Example Implementations\NASA Tool Wear\01) N_studies_with_1_assay_each\Data_mill\Case_12\Sensor\vib_table\Case_12_time_run_11.csv</v>
      </c>
      <c r="D127" s="33" t="str">
        <f t="shared" ca="1" si="12"/>
        <v>D:\DPL\ISA3\Example Implementations\NASA Tool Wear\01) N_studies_with_1_assay_each\Data_mill\Case_12\Sensor\vib_spindle\Case_12_time_run_11.csv</v>
      </c>
      <c r="E127" s="33" t="str">
        <f t="shared" ca="1" si="12"/>
        <v>D:\DPL\ISA3\Example Implementations\NASA Tool Wear\01) N_studies_with_1_assay_each\Data_mill\Case_12\Sensor\smcAC\Case_12_time_run_11.csv</v>
      </c>
      <c r="F127" s="33" t="str">
        <f t="shared" ca="1" si="12"/>
        <v>D:\DPL\ISA3\Example Implementations\NASA Tool Wear\01) N_studies_with_1_assay_each\Data_mill\Case_12\Sensor\smcDC\Case_12_time_run_11.csv</v>
      </c>
      <c r="G127" s="33" t="str">
        <f t="shared" ca="1" si="12"/>
        <v>D:\DPL\ISA3\Example Implementations\NASA Tool Wear\01) N_studies_with_1_assay_each\Data_mill\Case_12\Sensor\AE_table\Case_12_time_run_11.csv</v>
      </c>
      <c r="H127" s="33" t="str">
        <f t="shared" ca="1" si="12"/>
        <v>D:\DPL\ISA3\Example Implementations\NASA Tool Wear\01) N_studies_with_1_assay_each\Data_mill\Case_12\Sensor\AE_spindle\Case_12_time_run_11.csv</v>
      </c>
      <c r="I127" s="33"/>
      <c r="J127" s="33"/>
      <c r="K127" s="33"/>
    </row>
    <row r="128" spans="1:11" x14ac:dyDescent="0.3">
      <c r="A128" s="17" t="s">
        <v>82</v>
      </c>
      <c r="B128" s="17" t="s">
        <v>171</v>
      </c>
      <c r="C128" s="33" t="str">
        <f t="shared" ca="1" si="12"/>
        <v>D:\DPL\ISA3\Example Implementations\NASA Tool Wear\01) N_studies_with_1_assay_each\Data_mill\Case_12\Sensor\vib_table\Case_12_time_run_12.csv</v>
      </c>
      <c r="D128" s="33" t="str">
        <f t="shared" ca="1" si="12"/>
        <v>D:\DPL\ISA3\Example Implementations\NASA Tool Wear\01) N_studies_with_1_assay_each\Data_mill\Case_12\Sensor\vib_spindle\Case_12_time_run_12.csv</v>
      </c>
      <c r="E128" s="33" t="str">
        <f t="shared" ca="1" si="12"/>
        <v>D:\DPL\ISA3\Example Implementations\NASA Tool Wear\01) N_studies_with_1_assay_each\Data_mill\Case_12\Sensor\smcAC\Case_12_time_run_12.csv</v>
      </c>
      <c r="F128" s="33" t="str">
        <f t="shared" ca="1" si="12"/>
        <v>D:\DPL\ISA3\Example Implementations\NASA Tool Wear\01) N_studies_with_1_assay_each\Data_mill\Case_12\Sensor\smcDC\Case_12_time_run_12.csv</v>
      </c>
      <c r="G128" s="33" t="str">
        <f t="shared" ca="1" si="12"/>
        <v>D:\DPL\ISA3\Example Implementations\NASA Tool Wear\01) N_studies_with_1_assay_each\Data_mill\Case_12\Sensor\AE_table\Case_12_time_run_12.csv</v>
      </c>
      <c r="H128" s="33" t="str">
        <f t="shared" ca="1" si="12"/>
        <v>D:\DPL\ISA3\Example Implementations\NASA Tool Wear\01) N_studies_with_1_assay_each\Data_mill\Case_12\Sensor\AE_spindle\Case_12_time_run_12.csv</v>
      </c>
      <c r="I128" s="33"/>
      <c r="J128" s="33"/>
      <c r="K128" s="33"/>
    </row>
    <row r="129" spans="1:11" x14ac:dyDescent="0.3">
      <c r="A129" s="17" t="s">
        <v>82</v>
      </c>
      <c r="B129" s="17" t="s">
        <v>172</v>
      </c>
      <c r="C129" s="33" t="str">
        <f t="shared" ca="1" si="12"/>
        <v>D:\DPL\ISA3\Example Implementations\NASA Tool Wear\01) N_studies_with_1_assay_each\Data_mill\Case_12\Sensor\vib_table\Case_12_time_run_13.csv</v>
      </c>
      <c r="D129" s="33" t="str">
        <f t="shared" ca="1" si="12"/>
        <v>D:\DPL\ISA3\Example Implementations\NASA Tool Wear\01) N_studies_with_1_assay_each\Data_mill\Case_12\Sensor\vib_spindle\Case_12_time_run_13.csv</v>
      </c>
      <c r="E129" s="33" t="str">
        <f t="shared" ca="1" si="12"/>
        <v>D:\DPL\ISA3\Example Implementations\NASA Tool Wear\01) N_studies_with_1_assay_each\Data_mill\Case_12\Sensor\smcAC\Case_12_time_run_13.csv</v>
      </c>
      <c r="F129" s="33" t="str">
        <f t="shared" ca="1" si="12"/>
        <v>D:\DPL\ISA3\Example Implementations\NASA Tool Wear\01) N_studies_with_1_assay_each\Data_mill\Case_12\Sensor\smcDC\Case_12_time_run_13.csv</v>
      </c>
      <c r="G129" s="33" t="str">
        <f t="shared" ca="1" si="12"/>
        <v>D:\DPL\ISA3\Example Implementations\NASA Tool Wear\01) N_studies_with_1_assay_each\Data_mill\Case_12\Sensor\AE_table\Case_12_time_run_13.csv</v>
      </c>
      <c r="H129" s="33" t="str">
        <f t="shared" ca="1" si="12"/>
        <v>D:\DPL\ISA3\Example Implementations\NASA Tool Wear\01) N_studies_with_1_assay_each\Data_mill\Case_12\Sensor\AE_spindle\Case_12_time_run_13.csv</v>
      </c>
      <c r="I129" s="33"/>
      <c r="J129" s="33"/>
      <c r="K129" s="33"/>
    </row>
    <row r="130" spans="1:11" x14ac:dyDescent="0.3">
      <c r="A130" s="17" t="s">
        <v>82</v>
      </c>
      <c r="B130" s="17" t="s">
        <v>173</v>
      </c>
      <c r="C130" s="33" t="str">
        <f t="shared" ca="1" si="12"/>
        <v>D:\DPL\ISA3\Example Implementations\NASA Tool Wear\01) N_studies_with_1_assay_each\Data_mill\Case_12\Sensor\vib_table\Case_12_time_run_14.csv</v>
      </c>
      <c r="D130" s="33" t="str">
        <f t="shared" ca="1" si="12"/>
        <v>D:\DPL\ISA3\Example Implementations\NASA Tool Wear\01) N_studies_with_1_assay_each\Data_mill\Case_12\Sensor\vib_spindle\Case_12_time_run_14.csv</v>
      </c>
      <c r="E130" s="33" t="str">
        <f t="shared" ca="1" si="12"/>
        <v>D:\DPL\ISA3\Example Implementations\NASA Tool Wear\01) N_studies_with_1_assay_each\Data_mill\Case_12\Sensor\smcAC\Case_12_time_run_14.csv</v>
      </c>
      <c r="F130" s="33" t="str">
        <f t="shared" ca="1" si="12"/>
        <v>D:\DPL\ISA3\Example Implementations\NASA Tool Wear\01) N_studies_with_1_assay_each\Data_mill\Case_12\Sensor\smcDC\Case_12_time_run_14.csv</v>
      </c>
      <c r="G130" s="33" t="str">
        <f t="shared" ca="1" si="12"/>
        <v>D:\DPL\ISA3\Example Implementations\NASA Tool Wear\01) N_studies_with_1_assay_each\Data_mill\Case_12\Sensor\AE_table\Case_12_time_run_14.csv</v>
      </c>
      <c r="H130" s="33" t="str">
        <f t="shared" ca="1" si="12"/>
        <v>D:\DPL\ISA3\Example Implementations\NASA Tool Wear\01) N_studies_with_1_assay_each\Data_mill\Case_12\Sensor\AE_spindle\Case_12_time_run_14.csv</v>
      </c>
      <c r="I130" s="33"/>
      <c r="J130" s="33"/>
      <c r="K130" s="33"/>
    </row>
    <row r="131" spans="1:11" s="51" customFormat="1" x14ac:dyDescent="0.3">
      <c r="A131" s="57" t="s">
        <v>82</v>
      </c>
      <c r="B131" s="57" t="s">
        <v>174</v>
      </c>
      <c r="C131" s="33" t="str">
        <f t="shared" ca="1" si="12"/>
        <v>D:\DPL\ISA3\Example Implementations\NASA Tool Wear\01) N_studies_with_1_assay_each\Data_mill\Case_12\Sensor\vib_table\Case_12_time_run_15.csv</v>
      </c>
      <c r="D131" s="33" t="str">
        <f t="shared" ca="1" si="12"/>
        <v>D:\DPL\ISA3\Example Implementations\NASA Tool Wear\01) N_studies_with_1_assay_each\Data_mill\Case_12\Sensor\vib_spindle\Case_12_time_run_15.csv</v>
      </c>
      <c r="E131" s="33" t="str">
        <f t="shared" ca="1" si="12"/>
        <v>D:\DPL\ISA3\Example Implementations\NASA Tool Wear\01) N_studies_with_1_assay_each\Data_mill\Case_12\Sensor\smcAC\Case_12_time_run_15.csv</v>
      </c>
      <c r="F131" s="33" t="str">
        <f t="shared" ca="1" si="12"/>
        <v>D:\DPL\ISA3\Example Implementations\NASA Tool Wear\01) N_studies_with_1_assay_each\Data_mill\Case_12\Sensor\smcDC\Case_12_time_run_15.csv</v>
      </c>
      <c r="G131" s="33" t="str">
        <f t="shared" ca="1" si="12"/>
        <v>D:\DPL\ISA3\Example Implementations\NASA Tool Wear\01) N_studies_with_1_assay_each\Data_mill\Case_12\Sensor\AE_table\Case_12_time_run_15.csv</v>
      </c>
      <c r="H131" s="33" t="str">
        <f t="shared" ca="1" si="12"/>
        <v>D:\DPL\ISA3\Example Implementations\NASA Tool Wear\01) N_studies_with_1_assay_each\Data_mill\Case_12\Sensor\AE_spindle\Case_12_time_run_15.csv</v>
      </c>
      <c r="I131" s="33"/>
      <c r="J131" s="63"/>
      <c r="K131" s="63"/>
    </row>
    <row r="132" spans="1:11" x14ac:dyDescent="0.3">
      <c r="A132" s="17" t="s">
        <v>83</v>
      </c>
      <c r="B132" s="17" t="s">
        <v>192</v>
      </c>
      <c r="C132" s="72" t="str">
        <f t="shared" ref="C132:H147" ca="1" si="13">"D:\DPL\ISA3\Example Implementations\NASA Tool Wear\01) N_studies_with_1_assay_each\Data_mill\Case_"&amp;_xlfn.TEXTAFTER($A132,"s")&amp;"\Sensor\"&amp;C$1&amp;"\Case_"&amp;_xlfn.TEXTAFTER($A132,"s")&amp;"_time_run_"&amp;_xlfn.TEXTAFTER($B132,"Run ")&amp;".csv"</f>
        <v>D:\DPL\ISA3\Example Implementations\NASA Tool Wear\01) N_studies_with_1_assay_each\Data_mill\Case_13\Sensor\vib_table\Case_13_time_run_01.csv</v>
      </c>
      <c r="D132" s="72" t="str">
        <f t="shared" ca="1" si="13"/>
        <v>D:\DPL\ISA3\Example Implementations\NASA Tool Wear\01) N_studies_with_1_assay_each\Data_mill\Case_13\Sensor\vib_spindle\Case_13_time_run_01.csv</v>
      </c>
      <c r="E132" s="72" t="str">
        <f t="shared" ca="1" si="13"/>
        <v>D:\DPL\ISA3\Example Implementations\NASA Tool Wear\01) N_studies_with_1_assay_each\Data_mill\Case_13\Sensor\smcAC\Case_13_time_run_01.csv</v>
      </c>
      <c r="F132" s="72" t="str">
        <f t="shared" ca="1" si="13"/>
        <v>D:\DPL\ISA3\Example Implementations\NASA Tool Wear\01) N_studies_with_1_assay_each\Data_mill\Case_13\Sensor\smcDC\Case_13_time_run_01.csv</v>
      </c>
      <c r="G132" s="72" t="str">
        <f t="shared" ca="1" si="13"/>
        <v>D:\DPL\ISA3\Example Implementations\NASA Tool Wear\01) N_studies_with_1_assay_each\Data_mill\Case_13\Sensor\AE_table\Case_13_time_run_01.csv</v>
      </c>
      <c r="H132" s="72" t="str">
        <f t="shared" ca="1" si="13"/>
        <v>D:\DPL\ISA3\Example Implementations\NASA Tool Wear\01) N_studies_with_1_assay_each\Data_mill\Case_13\Sensor\AE_spindle\Case_13_time_run_01.csv</v>
      </c>
      <c r="I132" s="72"/>
      <c r="J132" s="33"/>
      <c r="K132" s="33"/>
    </row>
    <row r="133" spans="1:11" x14ac:dyDescent="0.3">
      <c r="A133" s="17" t="s">
        <v>83</v>
      </c>
      <c r="B133" s="17" t="s">
        <v>193</v>
      </c>
      <c r="C133" s="33" t="str">
        <f t="shared" ca="1" si="13"/>
        <v>D:\DPL\ISA3\Example Implementations\NASA Tool Wear\01) N_studies_with_1_assay_each\Data_mill\Case_13\Sensor\vib_table\Case_13_time_run_02.csv</v>
      </c>
      <c r="D133" s="33" t="str">
        <f t="shared" ca="1" si="13"/>
        <v>D:\DPL\ISA3\Example Implementations\NASA Tool Wear\01) N_studies_with_1_assay_each\Data_mill\Case_13\Sensor\vib_spindle\Case_13_time_run_02.csv</v>
      </c>
      <c r="E133" s="33" t="str">
        <f t="shared" ca="1" si="13"/>
        <v>D:\DPL\ISA3\Example Implementations\NASA Tool Wear\01) N_studies_with_1_assay_each\Data_mill\Case_13\Sensor\smcAC\Case_13_time_run_02.csv</v>
      </c>
      <c r="F133" s="33" t="str">
        <f t="shared" ca="1" si="13"/>
        <v>D:\DPL\ISA3\Example Implementations\NASA Tool Wear\01) N_studies_with_1_assay_each\Data_mill\Case_13\Sensor\smcDC\Case_13_time_run_02.csv</v>
      </c>
      <c r="G133" s="33" t="str">
        <f t="shared" ca="1" si="13"/>
        <v>D:\DPL\ISA3\Example Implementations\NASA Tool Wear\01) N_studies_with_1_assay_each\Data_mill\Case_13\Sensor\AE_table\Case_13_time_run_02.csv</v>
      </c>
      <c r="H133" s="33" t="str">
        <f t="shared" ca="1" si="13"/>
        <v>D:\DPL\ISA3\Example Implementations\NASA Tool Wear\01) N_studies_with_1_assay_each\Data_mill\Case_13\Sensor\AE_spindle\Case_13_time_run_02.csv</v>
      </c>
      <c r="I133" s="33"/>
      <c r="J133" s="33"/>
      <c r="K133" s="33"/>
    </row>
    <row r="134" spans="1:11" x14ac:dyDescent="0.3">
      <c r="A134" s="17" t="s">
        <v>83</v>
      </c>
      <c r="B134" s="17" t="s">
        <v>194</v>
      </c>
      <c r="C134" s="33" t="str">
        <f t="shared" ca="1" si="13"/>
        <v>D:\DPL\ISA3\Example Implementations\NASA Tool Wear\01) N_studies_with_1_assay_each\Data_mill\Case_13\Sensor\vib_table\Case_13_time_run_03.csv</v>
      </c>
      <c r="D134" s="33" t="str">
        <f t="shared" ca="1" si="13"/>
        <v>D:\DPL\ISA3\Example Implementations\NASA Tool Wear\01) N_studies_with_1_assay_each\Data_mill\Case_13\Sensor\vib_spindle\Case_13_time_run_03.csv</v>
      </c>
      <c r="E134" s="33" t="str">
        <f t="shared" ca="1" si="13"/>
        <v>D:\DPL\ISA3\Example Implementations\NASA Tool Wear\01) N_studies_with_1_assay_each\Data_mill\Case_13\Sensor\smcAC\Case_13_time_run_03.csv</v>
      </c>
      <c r="F134" s="33" t="str">
        <f t="shared" ca="1" si="13"/>
        <v>D:\DPL\ISA3\Example Implementations\NASA Tool Wear\01) N_studies_with_1_assay_each\Data_mill\Case_13\Sensor\smcDC\Case_13_time_run_03.csv</v>
      </c>
      <c r="G134" s="33" t="str">
        <f t="shared" ca="1" si="13"/>
        <v>D:\DPL\ISA3\Example Implementations\NASA Tool Wear\01) N_studies_with_1_assay_each\Data_mill\Case_13\Sensor\AE_table\Case_13_time_run_03.csv</v>
      </c>
      <c r="H134" s="33" t="str">
        <f t="shared" ca="1" si="13"/>
        <v>D:\DPL\ISA3\Example Implementations\NASA Tool Wear\01) N_studies_with_1_assay_each\Data_mill\Case_13\Sensor\AE_spindle\Case_13_time_run_03.csv</v>
      </c>
      <c r="I134" s="33"/>
      <c r="J134" s="33"/>
      <c r="K134" s="33"/>
    </row>
    <row r="135" spans="1:11" x14ac:dyDescent="0.3">
      <c r="A135" s="17" t="s">
        <v>83</v>
      </c>
      <c r="B135" s="17" t="s">
        <v>195</v>
      </c>
      <c r="C135" s="33" t="str">
        <f t="shared" ca="1" si="13"/>
        <v>D:\DPL\ISA3\Example Implementations\NASA Tool Wear\01) N_studies_with_1_assay_each\Data_mill\Case_13\Sensor\vib_table\Case_13_time_run_04.csv</v>
      </c>
      <c r="D135" s="33" t="str">
        <f t="shared" ca="1" si="13"/>
        <v>D:\DPL\ISA3\Example Implementations\NASA Tool Wear\01) N_studies_with_1_assay_each\Data_mill\Case_13\Sensor\vib_spindle\Case_13_time_run_04.csv</v>
      </c>
      <c r="E135" s="33" t="str">
        <f t="shared" ca="1" si="13"/>
        <v>D:\DPL\ISA3\Example Implementations\NASA Tool Wear\01) N_studies_with_1_assay_each\Data_mill\Case_13\Sensor\smcAC\Case_13_time_run_04.csv</v>
      </c>
      <c r="F135" s="33" t="str">
        <f t="shared" ca="1" si="13"/>
        <v>D:\DPL\ISA3\Example Implementations\NASA Tool Wear\01) N_studies_with_1_assay_each\Data_mill\Case_13\Sensor\smcDC\Case_13_time_run_04.csv</v>
      </c>
      <c r="G135" s="33" t="str">
        <f t="shared" ca="1" si="13"/>
        <v>D:\DPL\ISA3\Example Implementations\NASA Tool Wear\01) N_studies_with_1_assay_each\Data_mill\Case_13\Sensor\AE_table\Case_13_time_run_04.csv</v>
      </c>
      <c r="H135" s="33" t="str">
        <f t="shared" ca="1" si="13"/>
        <v>D:\DPL\ISA3\Example Implementations\NASA Tool Wear\01) N_studies_with_1_assay_each\Data_mill\Case_13\Sensor\AE_spindle\Case_13_time_run_04.csv</v>
      </c>
      <c r="I135" s="33"/>
      <c r="J135" s="33"/>
      <c r="K135" s="33"/>
    </row>
    <row r="136" spans="1:11" x14ac:dyDescent="0.3">
      <c r="A136" s="17" t="s">
        <v>83</v>
      </c>
      <c r="B136" s="17" t="s">
        <v>196</v>
      </c>
      <c r="C136" s="33" t="str">
        <f t="shared" ca="1" si="13"/>
        <v>D:\DPL\ISA3\Example Implementations\NASA Tool Wear\01) N_studies_with_1_assay_each\Data_mill\Case_13\Sensor\vib_table\Case_13_time_run_05.csv</v>
      </c>
      <c r="D136" s="33" t="str">
        <f t="shared" ca="1" si="13"/>
        <v>D:\DPL\ISA3\Example Implementations\NASA Tool Wear\01) N_studies_with_1_assay_each\Data_mill\Case_13\Sensor\vib_spindle\Case_13_time_run_05.csv</v>
      </c>
      <c r="E136" s="33" t="str">
        <f t="shared" ca="1" si="13"/>
        <v>D:\DPL\ISA3\Example Implementations\NASA Tool Wear\01) N_studies_with_1_assay_each\Data_mill\Case_13\Sensor\smcAC\Case_13_time_run_05.csv</v>
      </c>
      <c r="F136" s="33" t="str">
        <f t="shared" ca="1" si="13"/>
        <v>D:\DPL\ISA3\Example Implementations\NASA Tool Wear\01) N_studies_with_1_assay_each\Data_mill\Case_13\Sensor\smcDC\Case_13_time_run_05.csv</v>
      </c>
      <c r="G136" s="33" t="str">
        <f t="shared" ca="1" si="13"/>
        <v>D:\DPL\ISA3\Example Implementations\NASA Tool Wear\01) N_studies_with_1_assay_each\Data_mill\Case_13\Sensor\AE_table\Case_13_time_run_05.csv</v>
      </c>
      <c r="H136" s="33" t="str">
        <f t="shared" ca="1" si="13"/>
        <v>D:\DPL\ISA3\Example Implementations\NASA Tool Wear\01) N_studies_with_1_assay_each\Data_mill\Case_13\Sensor\AE_spindle\Case_13_time_run_05.csv</v>
      </c>
      <c r="I136" s="33"/>
      <c r="J136" s="33"/>
      <c r="K136" s="33"/>
    </row>
    <row r="137" spans="1:11" x14ac:dyDescent="0.3">
      <c r="A137" s="17" t="s">
        <v>83</v>
      </c>
      <c r="B137" s="17" t="s">
        <v>197</v>
      </c>
      <c r="C137" s="33" t="str">
        <f t="shared" ca="1" si="13"/>
        <v>D:\DPL\ISA3\Example Implementations\NASA Tool Wear\01) N_studies_with_1_assay_each\Data_mill\Case_13\Sensor\vib_table\Case_13_time_run_06.csv</v>
      </c>
      <c r="D137" s="33" t="str">
        <f t="shared" ca="1" si="13"/>
        <v>D:\DPL\ISA3\Example Implementations\NASA Tool Wear\01) N_studies_with_1_assay_each\Data_mill\Case_13\Sensor\vib_spindle\Case_13_time_run_06.csv</v>
      </c>
      <c r="E137" s="33" t="str">
        <f t="shared" ca="1" si="13"/>
        <v>D:\DPL\ISA3\Example Implementations\NASA Tool Wear\01) N_studies_with_1_assay_each\Data_mill\Case_13\Sensor\smcAC\Case_13_time_run_06.csv</v>
      </c>
      <c r="F137" s="33" t="str">
        <f t="shared" ca="1" si="13"/>
        <v>D:\DPL\ISA3\Example Implementations\NASA Tool Wear\01) N_studies_with_1_assay_each\Data_mill\Case_13\Sensor\smcDC\Case_13_time_run_06.csv</v>
      </c>
      <c r="G137" s="33" t="str">
        <f t="shared" ca="1" si="13"/>
        <v>D:\DPL\ISA3\Example Implementations\NASA Tool Wear\01) N_studies_with_1_assay_each\Data_mill\Case_13\Sensor\AE_table\Case_13_time_run_06.csv</v>
      </c>
      <c r="H137" s="33" t="str">
        <f t="shared" ca="1" si="13"/>
        <v>D:\DPL\ISA3\Example Implementations\NASA Tool Wear\01) N_studies_with_1_assay_each\Data_mill\Case_13\Sensor\AE_spindle\Case_13_time_run_06.csv</v>
      </c>
      <c r="I137" s="33"/>
      <c r="J137" s="33"/>
      <c r="K137" s="33"/>
    </row>
    <row r="138" spans="1:11" x14ac:dyDescent="0.3">
      <c r="A138" s="17" t="s">
        <v>83</v>
      </c>
      <c r="B138" s="17" t="s">
        <v>198</v>
      </c>
      <c r="C138" s="33" t="str">
        <f t="shared" ca="1" si="13"/>
        <v>D:\DPL\ISA3\Example Implementations\NASA Tool Wear\01) N_studies_with_1_assay_each\Data_mill\Case_13\Sensor\vib_table\Case_13_time_run_07.csv</v>
      </c>
      <c r="D138" s="33" t="str">
        <f t="shared" ca="1" si="13"/>
        <v>D:\DPL\ISA3\Example Implementations\NASA Tool Wear\01) N_studies_with_1_assay_each\Data_mill\Case_13\Sensor\vib_spindle\Case_13_time_run_07.csv</v>
      </c>
      <c r="E138" s="33" t="str">
        <f t="shared" ca="1" si="13"/>
        <v>D:\DPL\ISA3\Example Implementations\NASA Tool Wear\01) N_studies_with_1_assay_each\Data_mill\Case_13\Sensor\smcAC\Case_13_time_run_07.csv</v>
      </c>
      <c r="F138" s="33" t="str">
        <f t="shared" ca="1" si="13"/>
        <v>D:\DPL\ISA3\Example Implementations\NASA Tool Wear\01) N_studies_with_1_assay_each\Data_mill\Case_13\Sensor\smcDC\Case_13_time_run_07.csv</v>
      </c>
      <c r="G138" s="33" t="str">
        <f t="shared" ca="1" si="13"/>
        <v>D:\DPL\ISA3\Example Implementations\NASA Tool Wear\01) N_studies_with_1_assay_each\Data_mill\Case_13\Sensor\AE_table\Case_13_time_run_07.csv</v>
      </c>
      <c r="H138" s="33" t="str">
        <f t="shared" ca="1" si="13"/>
        <v>D:\DPL\ISA3\Example Implementations\NASA Tool Wear\01) N_studies_with_1_assay_each\Data_mill\Case_13\Sensor\AE_spindle\Case_13_time_run_07.csv</v>
      </c>
      <c r="I138" s="33"/>
      <c r="J138" s="33"/>
      <c r="K138" s="33"/>
    </row>
    <row r="139" spans="1:11" x14ac:dyDescent="0.3">
      <c r="A139" s="17" t="s">
        <v>83</v>
      </c>
      <c r="B139" s="17" t="s">
        <v>199</v>
      </c>
      <c r="C139" s="33" t="str">
        <f t="shared" ca="1" si="13"/>
        <v>D:\DPL\ISA3\Example Implementations\NASA Tool Wear\01) N_studies_with_1_assay_each\Data_mill\Case_13\Sensor\vib_table\Case_13_time_run_08.csv</v>
      </c>
      <c r="D139" s="33" t="str">
        <f t="shared" ca="1" si="13"/>
        <v>D:\DPL\ISA3\Example Implementations\NASA Tool Wear\01) N_studies_with_1_assay_each\Data_mill\Case_13\Sensor\vib_spindle\Case_13_time_run_08.csv</v>
      </c>
      <c r="E139" s="33" t="str">
        <f t="shared" ca="1" si="13"/>
        <v>D:\DPL\ISA3\Example Implementations\NASA Tool Wear\01) N_studies_with_1_assay_each\Data_mill\Case_13\Sensor\smcAC\Case_13_time_run_08.csv</v>
      </c>
      <c r="F139" s="33" t="str">
        <f t="shared" ca="1" si="13"/>
        <v>D:\DPL\ISA3\Example Implementations\NASA Tool Wear\01) N_studies_with_1_assay_each\Data_mill\Case_13\Sensor\smcDC\Case_13_time_run_08.csv</v>
      </c>
      <c r="G139" s="33" t="str">
        <f t="shared" ca="1" si="13"/>
        <v>D:\DPL\ISA3\Example Implementations\NASA Tool Wear\01) N_studies_with_1_assay_each\Data_mill\Case_13\Sensor\AE_table\Case_13_time_run_08.csv</v>
      </c>
      <c r="H139" s="33" t="str">
        <f t="shared" ca="1" si="13"/>
        <v>D:\DPL\ISA3\Example Implementations\NASA Tool Wear\01) N_studies_with_1_assay_each\Data_mill\Case_13\Sensor\AE_spindle\Case_13_time_run_08.csv</v>
      </c>
      <c r="I139" s="33"/>
      <c r="J139" s="33"/>
      <c r="K139" s="33"/>
    </row>
    <row r="140" spans="1:11" x14ac:dyDescent="0.3">
      <c r="A140" s="17" t="s">
        <v>83</v>
      </c>
      <c r="B140" s="17" t="s">
        <v>200</v>
      </c>
      <c r="C140" s="33" t="str">
        <f t="shared" ca="1" si="13"/>
        <v>D:\DPL\ISA3\Example Implementations\NASA Tool Wear\01) N_studies_with_1_assay_each\Data_mill\Case_13\Sensor\vib_table\Case_13_time_run_09.csv</v>
      </c>
      <c r="D140" s="33" t="str">
        <f t="shared" ca="1" si="13"/>
        <v>D:\DPL\ISA3\Example Implementations\NASA Tool Wear\01) N_studies_with_1_assay_each\Data_mill\Case_13\Sensor\vib_spindle\Case_13_time_run_09.csv</v>
      </c>
      <c r="E140" s="33" t="str">
        <f t="shared" ca="1" si="13"/>
        <v>D:\DPL\ISA3\Example Implementations\NASA Tool Wear\01) N_studies_with_1_assay_each\Data_mill\Case_13\Sensor\smcAC\Case_13_time_run_09.csv</v>
      </c>
      <c r="F140" s="33" t="str">
        <f t="shared" ca="1" si="13"/>
        <v>D:\DPL\ISA3\Example Implementations\NASA Tool Wear\01) N_studies_with_1_assay_each\Data_mill\Case_13\Sensor\smcDC\Case_13_time_run_09.csv</v>
      </c>
      <c r="G140" s="33" t="str">
        <f t="shared" ca="1" si="13"/>
        <v>D:\DPL\ISA3\Example Implementations\NASA Tool Wear\01) N_studies_with_1_assay_each\Data_mill\Case_13\Sensor\AE_table\Case_13_time_run_09.csv</v>
      </c>
      <c r="H140" s="33" t="str">
        <f t="shared" ca="1" si="13"/>
        <v>D:\DPL\ISA3\Example Implementations\NASA Tool Wear\01) N_studies_with_1_assay_each\Data_mill\Case_13\Sensor\AE_spindle\Case_13_time_run_09.csv</v>
      </c>
      <c r="I140" s="33"/>
      <c r="J140" s="33"/>
      <c r="K140" s="33"/>
    </row>
    <row r="141" spans="1:11" x14ac:dyDescent="0.3">
      <c r="A141" s="17" t="s">
        <v>83</v>
      </c>
      <c r="B141" s="17" t="s">
        <v>169</v>
      </c>
      <c r="C141" s="33" t="str">
        <f t="shared" ca="1" si="13"/>
        <v>D:\DPL\ISA3\Example Implementations\NASA Tool Wear\01) N_studies_with_1_assay_each\Data_mill\Case_13\Sensor\vib_table\Case_13_time_run_10.csv</v>
      </c>
      <c r="D141" s="33" t="str">
        <f t="shared" ca="1" si="13"/>
        <v>D:\DPL\ISA3\Example Implementations\NASA Tool Wear\01) N_studies_with_1_assay_each\Data_mill\Case_13\Sensor\vib_spindle\Case_13_time_run_10.csv</v>
      </c>
      <c r="E141" s="33" t="str">
        <f t="shared" ca="1" si="13"/>
        <v>D:\DPL\ISA3\Example Implementations\NASA Tool Wear\01) N_studies_with_1_assay_each\Data_mill\Case_13\Sensor\smcAC\Case_13_time_run_10.csv</v>
      </c>
      <c r="F141" s="33" t="str">
        <f t="shared" ca="1" si="13"/>
        <v>D:\DPL\ISA3\Example Implementations\NASA Tool Wear\01) N_studies_with_1_assay_each\Data_mill\Case_13\Sensor\smcDC\Case_13_time_run_10.csv</v>
      </c>
      <c r="G141" s="33" t="str">
        <f t="shared" ca="1" si="13"/>
        <v>D:\DPL\ISA3\Example Implementations\NASA Tool Wear\01) N_studies_with_1_assay_each\Data_mill\Case_13\Sensor\AE_table\Case_13_time_run_10.csv</v>
      </c>
      <c r="H141" s="33" t="str">
        <f t="shared" ca="1" si="13"/>
        <v>D:\DPL\ISA3\Example Implementations\NASA Tool Wear\01) N_studies_with_1_assay_each\Data_mill\Case_13\Sensor\AE_spindle\Case_13_time_run_10.csv</v>
      </c>
      <c r="I141" s="33"/>
      <c r="J141" s="33"/>
      <c r="K141" s="33"/>
    </row>
    <row r="142" spans="1:11" x14ac:dyDescent="0.3">
      <c r="A142" s="17" t="s">
        <v>83</v>
      </c>
      <c r="B142" s="17" t="s">
        <v>170</v>
      </c>
      <c r="C142" s="33" t="str">
        <f t="shared" ca="1" si="13"/>
        <v>D:\DPL\ISA3\Example Implementations\NASA Tool Wear\01) N_studies_with_1_assay_each\Data_mill\Case_13\Sensor\vib_table\Case_13_time_run_11.csv</v>
      </c>
      <c r="D142" s="33" t="str">
        <f t="shared" ca="1" si="13"/>
        <v>D:\DPL\ISA3\Example Implementations\NASA Tool Wear\01) N_studies_with_1_assay_each\Data_mill\Case_13\Sensor\vib_spindle\Case_13_time_run_11.csv</v>
      </c>
      <c r="E142" s="33" t="str">
        <f t="shared" ca="1" si="13"/>
        <v>D:\DPL\ISA3\Example Implementations\NASA Tool Wear\01) N_studies_with_1_assay_each\Data_mill\Case_13\Sensor\smcAC\Case_13_time_run_11.csv</v>
      </c>
      <c r="F142" s="33" t="str">
        <f t="shared" ca="1" si="13"/>
        <v>D:\DPL\ISA3\Example Implementations\NASA Tool Wear\01) N_studies_with_1_assay_each\Data_mill\Case_13\Sensor\smcDC\Case_13_time_run_11.csv</v>
      </c>
      <c r="G142" s="33" t="str">
        <f t="shared" ca="1" si="13"/>
        <v>D:\DPL\ISA3\Example Implementations\NASA Tool Wear\01) N_studies_with_1_assay_each\Data_mill\Case_13\Sensor\AE_table\Case_13_time_run_11.csv</v>
      </c>
      <c r="H142" s="33" t="str">
        <f t="shared" ca="1" si="13"/>
        <v>D:\DPL\ISA3\Example Implementations\NASA Tool Wear\01) N_studies_with_1_assay_each\Data_mill\Case_13\Sensor\AE_spindle\Case_13_time_run_11.csv</v>
      </c>
      <c r="I142" s="33"/>
      <c r="J142" s="33"/>
      <c r="K142" s="33"/>
    </row>
    <row r="143" spans="1:11" x14ac:dyDescent="0.3">
      <c r="A143" s="17" t="s">
        <v>83</v>
      </c>
      <c r="B143" s="17" t="s">
        <v>171</v>
      </c>
      <c r="C143" s="33" t="str">
        <f t="shared" ca="1" si="13"/>
        <v>D:\DPL\ISA3\Example Implementations\NASA Tool Wear\01) N_studies_with_1_assay_each\Data_mill\Case_13\Sensor\vib_table\Case_13_time_run_12.csv</v>
      </c>
      <c r="D143" s="33" t="str">
        <f t="shared" ca="1" si="13"/>
        <v>D:\DPL\ISA3\Example Implementations\NASA Tool Wear\01) N_studies_with_1_assay_each\Data_mill\Case_13\Sensor\vib_spindle\Case_13_time_run_12.csv</v>
      </c>
      <c r="E143" s="33" t="str">
        <f t="shared" ca="1" si="13"/>
        <v>D:\DPL\ISA3\Example Implementations\NASA Tool Wear\01) N_studies_with_1_assay_each\Data_mill\Case_13\Sensor\smcAC\Case_13_time_run_12.csv</v>
      </c>
      <c r="F143" s="33" t="str">
        <f t="shared" ca="1" si="13"/>
        <v>D:\DPL\ISA3\Example Implementations\NASA Tool Wear\01) N_studies_with_1_assay_each\Data_mill\Case_13\Sensor\smcDC\Case_13_time_run_12.csv</v>
      </c>
      <c r="G143" s="33" t="str">
        <f t="shared" ca="1" si="13"/>
        <v>D:\DPL\ISA3\Example Implementations\NASA Tool Wear\01) N_studies_with_1_assay_each\Data_mill\Case_13\Sensor\AE_table\Case_13_time_run_12.csv</v>
      </c>
      <c r="H143" s="33" t="str">
        <f t="shared" ca="1" si="13"/>
        <v>D:\DPL\ISA3\Example Implementations\NASA Tool Wear\01) N_studies_with_1_assay_each\Data_mill\Case_13\Sensor\AE_spindle\Case_13_time_run_12.csv</v>
      </c>
      <c r="I143" s="33"/>
      <c r="J143" s="33"/>
      <c r="K143" s="33"/>
    </row>
    <row r="144" spans="1:11" x14ac:dyDescent="0.3">
      <c r="A144" s="17" t="s">
        <v>83</v>
      </c>
      <c r="B144" s="17" t="s">
        <v>172</v>
      </c>
      <c r="C144" s="33" t="str">
        <f t="shared" ca="1" si="13"/>
        <v>D:\DPL\ISA3\Example Implementations\NASA Tool Wear\01) N_studies_with_1_assay_each\Data_mill\Case_13\Sensor\vib_table\Case_13_time_run_13.csv</v>
      </c>
      <c r="D144" s="33" t="str">
        <f t="shared" ca="1" si="13"/>
        <v>D:\DPL\ISA3\Example Implementations\NASA Tool Wear\01) N_studies_with_1_assay_each\Data_mill\Case_13\Sensor\vib_spindle\Case_13_time_run_13.csv</v>
      </c>
      <c r="E144" s="33" t="str">
        <f t="shared" ca="1" si="13"/>
        <v>D:\DPL\ISA3\Example Implementations\NASA Tool Wear\01) N_studies_with_1_assay_each\Data_mill\Case_13\Sensor\smcAC\Case_13_time_run_13.csv</v>
      </c>
      <c r="F144" s="33" t="str">
        <f t="shared" ca="1" si="13"/>
        <v>D:\DPL\ISA3\Example Implementations\NASA Tool Wear\01) N_studies_with_1_assay_each\Data_mill\Case_13\Sensor\smcDC\Case_13_time_run_13.csv</v>
      </c>
      <c r="G144" s="33" t="str">
        <f t="shared" ca="1" si="13"/>
        <v>D:\DPL\ISA3\Example Implementations\NASA Tool Wear\01) N_studies_with_1_assay_each\Data_mill\Case_13\Sensor\AE_table\Case_13_time_run_13.csv</v>
      </c>
      <c r="H144" s="33" t="str">
        <f t="shared" ca="1" si="13"/>
        <v>D:\DPL\ISA3\Example Implementations\NASA Tool Wear\01) N_studies_with_1_assay_each\Data_mill\Case_13\Sensor\AE_spindle\Case_13_time_run_13.csv</v>
      </c>
      <c r="I144" s="33"/>
      <c r="J144" s="33"/>
      <c r="K144" s="33"/>
    </row>
    <row r="145" spans="1:11" x14ac:dyDescent="0.3">
      <c r="A145" s="17" t="s">
        <v>83</v>
      </c>
      <c r="B145" s="17" t="s">
        <v>173</v>
      </c>
      <c r="C145" s="33" t="str">
        <f t="shared" ca="1" si="13"/>
        <v>D:\DPL\ISA3\Example Implementations\NASA Tool Wear\01) N_studies_with_1_assay_each\Data_mill\Case_13\Sensor\vib_table\Case_13_time_run_14.csv</v>
      </c>
      <c r="D145" s="33" t="str">
        <f t="shared" ca="1" si="13"/>
        <v>D:\DPL\ISA3\Example Implementations\NASA Tool Wear\01) N_studies_with_1_assay_each\Data_mill\Case_13\Sensor\vib_spindle\Case_13_time_run_14.csv</v>
      </c>
      <c r="E145" s="33" t="str">
        <f t="shared" ca="1" si="13"/>
        <v>D:\DPL\ISA3\Example Implementations\NASA Tool Wear\01) N_studies_with_1_assay_each\Data_mill\Case_13\Sensor\smcAC\Case_13_time_run_14.csv</v>
      </c>
      <c r="F145" s="33" t="str">
        <f t="shared" ca="1" si="13"/>
        <v>D:\DPL\ISA3\Example Implementations\NASA Tool Wear\01) N_studies_with_1_assay_each\Data_mill\Case_13\Sensor\smcDC\Case_13_time_run_14.csv</v>
      </c>
      <c r="G145" s="33" t="str">
        <f t="shared" ca="1" si="13"/>
        <v>D:\DPL\ISA3\Example Implementations\NASA Tool Wear\01) N_studies_with_1_assay_each\Data_mill\Case_13\Sensor\AE_table\Case_13_time_run_14.csv</v>
      </c>
      <c r="H145" s="33" t="str">
        <f t="shared" ca="1" si="13"/>
        <v>D:\DPL\ISA3\Example Implementations\NASA Tool Wear\01) N_studies_with_1_assay_each\Data_mill\Case_13\Sensor\AE_spindle\Case_13_time_run_14.csv</v>
      </c>
      <c r="I145" s="33"/>
      <c r="J145" s="33"/>
      <c r="K145" s="33"/>
    </row>
    <row r="146" spans="1:11" s="51" customFormat="1" x14ac:dyDescent="0.3">
      <c r="A146" s="57" t="s">
        <v>83</v>
      </c>
      <c r="B146" s="57" t="s">
        <v>174</v>
      </c>
      <c r="C146" s="63" t="str">
        <f t="shared" ca="1" si="13"/>
        <v>D:\DPL\ISA3\Example Implementations\NASA Tool Wear\01) N_studies_with_1_assay_each\Data_mill\Case_13\Sensor\vib_table\Case_13_time_run_15.csv</v>
      </c>
      <c r="D146" s="63" t="str">
        <f t="shared" ca="1" si="13"/>
        <v>D:\DPL\ISA3\Example Implementations\NASA Tool Wear\01) N_studies_with_1_assay_each\Data_mill\Case_13\Sensor\vib_spindle\Case_13_time_run_15.csv</v>
      </c>
      <c r="E146" s="63" t="str">
        <f t="shared" ca="1" si="13"/>
        <v>D:\DPL\ISA3\Example Implementations\NASA Tool Wear\01) N_studies_with_1_assay_each\Data_mill\Case_13\Sensor\smcAC\Case_13_time_run_15.csv</v>
      </c>
      <c r="F146" s="63" t="str">
        <f t="shared" ca="1" si="13"/>
        <v>D:\DPL\ISA3\Example Implementations\NASA Tool Wear\01) N_studies_with_1_assay_each\Data_mill\Case_13\Sensor\smcDC\Case_13_time_run_15.csv</v>
      </c>
      <c r="G146" s="63" t="str">
        <f t="shared" ca="1" si="13"/>
        <v>D:\DPL\ISA3\Example Implementations\NASA Tool Wear\01) N_studies_with_1_assay_each\Data_mill\Case_13\Sensor\AE_table\Case_13_time_run_15.csv</v>
      </c>
      <c r="H146" s="63" t="str">
        <f t="shared" ca="1" si="13"/>
        <v>D:\DPL\ISA3\Example Implementations\NASA Tool Wear\01) N_studies_with_1_assay_each\Data_mill\Case_13\Sensor\AE_spindle\Case_13_time_run_15.csv</v>
      </c>
      <c r="I146" s="63"/>
      <c r="J146" s="63"/>
      <c r="K146" s="63"/>
    </row>
    <row r="147" spans="1:11" x14ac:dyDescent="0.3">
      <c r="A147" s="17" t="s">
        <v>84</v>
      </c>
      <c r="B147" s="17" t="s">
        <v>192</v>
      </c>
      <c r="C147" s="63" t="str">
        <f t="shared" ca="1" si="13"/>
        <v>D:\DPL\ISA3\Example Implementations\NASA Tool Wear\01) N_studies_with_1_assay_each\Data_mill\Case_14\Sensor\vib_table\Case_14_time_run_01.csv</v>
      </c>
      <c r="D147" s="33" t="str">
        <f t="shared" ref="D147:H156" ca="1" si="14">"D:\DPL\ISA3\Example Implementations\NASA Tool Wear\01) N_studies_with_1_assay_each\Data_mill\Case_"&amp;_xlfn.TEXTAFTER($A147,"s")&amp;"\Sensor\"&amp;D$1&amp;"\Case_"&amp;_xlfn.TEXTAFTER($A147,"s")&amp;"_time_run_"&amp;_xlfn.TEXTAFTER($B147,"Run ")&amp;".csv"</f>
        <v>D:\DPL\ISA3\Example Implementations\NASA Tool Wear\01) N_studies_with_1_assay_each\Data_mill\Case_14\Sensor\vib_spindle\Case_14_time_run_01.csv</v>
      </c>
      <c r="E147" s="33" t="str">
        <f t="shared" ca="1" si="14"/>
        <v>D:\DPL\ISA3\Example Implementations\NASA Tool Wear\01) N_studies_with_1_assay_each\Data_mill\Case_14\Sensor\smcAC\Case_14_time_run_01.csv</v>
      </c>
      <c r="F147" s="33" t="str">
        <f t="shared" ca="1" si="14"/>
        <v>D:\DPL\ISA3\Example Implementations\NASA Tool Wear\01) N_studies_with_1_assay_each\Data_mill\Case_14\Sensor\smcDC\Case_14_time_run_01.csv</v>
      </c>
      <c r="G147" s="33" t="str">
        <f t="shared" ca="1" si="14"/>
        <v>D:\DPL\ISA3\Example Implementations\NASA Tool Wear\01) N_studies_with_1_assay_each\Data_mill\Case_14\Sensor\AE_table\Case_14_time_run_01.csv</v>
      </c>
      <c r="H147" s="33" t="str">
        <f t="shared" ca="1" si="14"/>
        <v>D:\DPL\ISA3\Example Implementations\NASA Tool Wear\01) N_studies_with_1_assay_each\Data_mill\Case_14\Sensor\AE_spindle\Case_14_time_run_01.csv</v>
      </c>
      <c r="I147" s="33"/>
      <c r="J147" s="33"/>
      <c r="K147" s="33"/>
    </row>
    <row r="148" spans="1:11" x14ac:dyDescent="0.3">
      <c r="A148" s="17" t="s">
        <v>84</v>
      </c>
      <c r="B148" s="17" t="s">
        <v>193</v>
      </c>
      <c r="C148" s="33" t="str">
        <f t="shared" ref="C148:C167" ca="1" si="15">"D:\DPL\ISA3\Example Implementations\NASA Tool Wear\01) N_studies_with_1_assay_each\Data_mill\Case_"&amp;_xlfn.TEXTAFTER($A148,"s")&amp;"\Sensor\"&amp;C$1&amp;"\Case_"&amp;_xlfn.TEXTAFTER($A148,"s")&amp;"_time_run_"&amp;_xlfn.TEXTAFTER($B148,"Run ")&amp;".csv"</f>
        <v>D:\DPL\ISA3\Example Implementations\NASA Tool Wear\01) N_studies_with_1_assay_each\Data_mill\Case_14\Sensor\vib_table\Case_14_time_run_02.csv</v>
      </c>
      <c r="D148" s="33" t="str">
        <f t="shared" ca="1" si="14"/>
        <v>D:\DPL\ISA3\Example Implementations\NASA Tool Wear\01) N_studies_with_1_assay_each\Data_mill\Case_14\Sensor\vib_spindle\Case_14_time_run_02.csv</v>
      </c>
      <c r="E148" s="33" t="str">
        <f t="shared" ca="1" si="14"/>
        <v>D:\DPL\ISA3\Example Implementations\NASA Tool Wear\01) N_studies_with_1_assay_each\Data_mill\Case_14\Sensor\smcAC\Case_14_time_run_02.csv</v>
      </c>
      <c r="F148" s="33" t="str">
        <f t="shared" ca="1" si="14"/>
        <v>D:\DPL\ISA3\Example Implementations\NASA Tool Wear\01) N_studies_with_1_assay_each\Data_mill\Case_14\Sensor\smcDC\Case_14_time_run_02.csv</v>
      </c>
      <c r="G148" s="33" t="str">
        <f t="shared" ca="1" si="14"/>
        <v>D:\DPL\ISA3\Example Implementations\NASA Tool Wear\01) N_studies_with_1_assay_each\Data_mill\Case_14\Sensor\AE_table\Case_14_time_run_02.csv</v>
      </c>
      <c r="H148" s="33" t="str">
        <f t="shared" ca="1" si="14"/>
        <v>D:\DPL\ISA3\Example Implementations\NASA Tool Wear\01) N_studies_with_1_assay_each\Data_mill\Case_14\Sensor\AE_spindle\Case_14_time_run_02.csv</v>
      </c>
      <c r="I148" s="33"/>
      <c r="J148" s="33"/>
      <c r="K148" s="33"/>
    </row>
    <row r="149" spans="1:11" x14ac:dyDescent="0.3">
      <c r="A149" s="17" t="s">
        <v>84</v>
      </c>
      <c r="B149" s="17" t="s">
        <v>194</v>
      </c>
      <c r="C149" s="33" t="str">
        <f t="shared" ca="1" si="15"/>
        <v>D:\DPL\ISA3\Example Implementations\NASA Tool Wear\01) N_studies_with_1_assay_each\Data_mill\Case_14\Sensor\vib_table\Case_14_time_run_03.csv</v>
      </c>
      <c r="D149" s="33" t="str">
        <f t="shared" ca="1" si="14"/>
        <v>D:\DPL\ISA3\Example Implementations\NASA Tool Wear\01) N_studies_with_1_assay_each\Data_mill\Case_14\Sensor\vib_spindle\Case_14_time_run_03.csv</v>
      </c>
      <c r="E149" s="33" t="str">
        <f t="shared" ca="1" si="14"/>
        <v>D:\DPL\ISA3\Example Implementations\NASA Tool Wear\01) N_studies_with_1_assay_each\Data_mill\Case_14\Sensor\smcAC\Case_14_time_run_03.csv</v>
      </c>
      <c r="F149" s="33" t="str">
        <f t="shared" ca="1" si="14"/>
        <v>D:\DPL\ISA3\Example Implementations\NASA Tool Wear\01) N_studies_with_1_assay_each\Data_mill\Case_14\Sensor\smcDC\Case_14_time_run_03.csv</v>
      </c>
      <c r="G149" s="33" t="str">
        <f t="shared" ca="1" si="14"/>
        <v>D:\DPL\ISA3\Example Implementations\NASA Tool Wear\01) N_studies_with_1_assay_each\Data_mill\Case_14\Sensor\AE_table\Case_14_time_run_03.csv</v>
      </c>
      <c r="H149" s="33" t="str">
        <f t="shared" ca="1" si="14"/>
        <v>D:\DPL\ISA3\Example Implementations\NASA Tool Wear\01) N_studies_with_1_assay_each\Data_mill\Case_14\Sensor\AE_spindle\Case_14_time_run_03.csv</v>
      </c>
      <c r="I149" s="33"/>
      <c r="J149" s="33"/>
      <c r="K149" s="33"/>
    </row>
    <row r="150" spans="1:11" x14ac:dyDescent="0.3">
      <c r="A150" s="17" t="s">
        <v>84</v>
      </c>
      <c r="B150" s="17" t="s">
        <v>195</v>
      </c>
      <c r="C150" s="33" t="str">
        <f t="shared" ca="1" si="15"/>
        <v>D:\DPL\ISA3\Example Implementations\NASA Tool Wear\01) N_studies_with_1_assay_each\Data_mill\Case_14\Sensor\vib_table\Case_14_time_run_04.csv</v>
      </c>
      <c r="D150" s="33" t="str">
        <f t="shared" ca="1" si="14"/>
        <v>D:\DPL\ISA3\Example Implementations\NASA Tool Wear\01) N_studies_with_1_assay_each\Data_mill\Case_14\Sensor\vib_spindle\Case_14_time_run_04.csv</v>
      </c>
      <c r="E150" s="33" t="str">
        <f t="shared" ca="1" si="14"/>
        <v>D:\DPL\ISA3\Example Implementations\NASA Tool Wear\01) N_studies_with_1_assay_each\Data_mill\Case_14\Sensor\smcAC\Case_14_time_run_04.csv</v>
      </c>
      <c r="F150" s="33" t="str">
        <f t="shared" ca="1" si="14"/>
        <v>D:\DPL\ISA3\Example Implementations\NASA Tool Wear\01) N_studies_with_1_assay_each\Data_mill\Case_14\Sensor\smcDC\Case_14_time_run_04.csv</v>
      </c>
      <c r="G150" s="33" t="str">
        <f t="shared" ca="1" si="14"/>
        <v>D:\DPL\ISA3\Example Implementations\NASA Tool Wear\01) N_studies_with_1_assay_each\Data_mill\Case_14\Sensor\AE_table\Case_14_time_run_04.csv</v>
      </c>
      <c r="H150" s="33" t="str">
        <f t="shared" ca="1" si="14"/>
        <v>D:\DPL\ISA3\Example Implementations\NASA Tool Wear\01) N_studies_with_1_assay_each\Data_mill\Case_14\Sensor\AE_spindle\Case_14_time_run_04.csv</v>
      </c>
      <c r="I150" s="33"/>
      <c r="J150" s="33"/>
      <c r="K150" s="33"/>
    </row>
    <row r="151" spans="1:11" x14ac:dyDescent="0.3">
      <c r="A151" s="17" t="s">
        <v>84</v>
      </c>
      <c r="B151" s="17" t="s">
        <v>196</v>
      </c>
      <c r="C151" s="33" t="str">
        <f t="shared" ca="1" si="15"/>
        <v>D:\DPL\ISA3\Example Implementations\NASA Tool Wear\01) N_studies_with_1_assay_each\Data_mill\Case_14\Sensor\vib_table\Case_14_time_run_05.csv</v>
      </c>
      <c r="D151" s="33" t="str">
        <f t="shared" ca="1" si="14"/>
        <v>D:\DPL\ISA3\Example Implementations\NASA Tool Wear\01) N_studies_with_1_assay_each\Data_mill\Case_14\Sensor\vib_spindle\Case_14_time_run_05.csv</v>
      </c>
      <c r="E151" s="33" t="str">
        <f t="shared" ca="1" si="14"/>
        <v>D:\DPL\ISA3\Example Implementations\NASA Tool Wear\01) N_studies_with_1_assay_each\Data_mill\Case_14\Sensor\smcAC\Case_14_time_run_05.csv</v>
      </c>
      <c r="F151" s="33" t="str">
        <f t="shared" ca="1" si="14"/>
        <v>D:\DPL\ISA3\Example Implementations\NASA Tool Wear\01) N_studies_with_1_assay_each\Data_mill\Case_14\Sensor\smcDC\Case_14_time_run_05.csv</v>
      </c>
      <c r="G151" s="33" t="str">
        <f t="shared" ca="1" si="14"/>
        <v>D:\DPL\ISA3\Example Implementations\NASA Tool Wear\01) N_studies_with_1_assay_each\Data_mill\Case_14\Sensor\AE_table\Case_14_time_run_05.csv</v>
      </c>
      <c r="H151" s="33" t="str">
        <f t="shared" ca="1" si="14"/>
        <v>D:\DPL\ISA3\Example Implementations\NASA Tool Wear\01) N_studies_with_1_assay_each\Data_mill\Case_14\Sensor\AE_spindle\Case_14_time_run_05.csv</v>
      </c>
      <c r="I151" s="33"/>
      <c r="J151" s="33"/>
      <c r="K151" s="33"/>
    </row>
    <row r="152" spans="1:11" x14ac:dyDescent="0.3">
      <c r="A152" s="17" t="s">
        <v>84</v>
      </c>
      <c r="B152" s="17" t="s">
        <v>197</v>
      </c>
      <c r="C152" s="33" t="str">
        <f t="shared" ca="1" si="15"/>
        <v>D:\DPL\ISA3\Example Implementations\NASA Tool Wear\01) N_studies_with_1_assay_each\Data_mill\Case_14\Sensor\vib_table\Case_14_time_run_06.csv</v>
      </c>
      <c r="D152" s="33" t="str">
        <f t="shared" ca="1" si="14"/>
        <v>D:\DPL\ISA3\Example Implementations\NASA Tool Wear\01) N_studies_with_1_assay_each\Data_mill\Case_14\Sensor\vib_spindle\Case_14_time_run_06.csv</v>
      </c>
      <c r="E152" s="33" t="str">
        <f t="shared" ca="1" si="14"/>
        <v>D:\DPL\ISA3\Example Implementations\NASA Tool Wear\01) N_studies_with_1_assay_each\Data_mill\Case_14\Sensor\smcAC\Case_14_time_run_06.csv</v>
      </c>
      <c r="F152" s="33" t="str">
        <f t="shared" ca="1" si="14"/>
        <v>D:\DPL\ISA3\Example Implementations\NASA Tool Wear\01) N_studies_with_1_assay_each\Data_mill\Case_14\Sensor\smcDC\Case_14_time_run_06.csv</v>
      </c>
      <c r="G152" s="33" t="str">
        <f t="shared" ca="1" si="14"/>
        <v>D:\DPL\ISA3\Example Implementations\NASA Tool Wear\01) N_studies_with_1_assay_each\Data_mill\Case_14\Sensor\AE_table\Case_14_time_run_06.csv</v>
      </c>
      <c r="H152" s="33" t="str">
        <f t="shared" ca="1" si="14"/>
        <v>D:\DPL\ISA3\Example Implementations\NASA Tool Wear\01) N_studies_with_1_assay_each\Data_mill\Case_14\Sensor\AE_spindle\Case_14_time_run_06.csv</v>
      </c>
      <c r="I152" s="33"/>
      <c r="J152" s="33"/>
      <c r="K152" s="33"/>
    </row>
    <row r="153" spans="1:11" x14ac:dyDescent="0.3">
      <c r="A153" s="17" t="s">
        <v>84</v>
      </c>
      <c r="B153" s="17" t="s">
        <v>198</v>
      </c>
      <c r="C153" s="33" t="str">
        <f t="shared" ca="1" si="15"/>
        <v>D:\DPL\ISA3\Example Implementations\NASA Tool Wear\01) N_studies_with_1_assay_each\Data_mill\Case_14\Sensor\vib_table\Case_14_time_run_07.csv</v>
      </c>
      <c r="D153" s="33" t="str">
        <f t="shared" ca="1" si="14"/>
        <v>D:\DPL\ISA3\Example Implementations\NASA Tool Wear\01) N_studies_with_1_assay_each\Data_mill\Case_14\Sensor\vib_spindle\Case_14_time_run_07.csv</v>
      </c>
      <c r="E153" s="33" t="str">
        <f t="shared" ca="1" si="14"/>
        <v>D:\DPL\ISA3\Example Implementations\NASA Tool Wear\01) N_studies_with_1_assay_each\Data_mill\Case_14\Sensor\smcAC\Case_14_time_run_07.csv</v>
      </c>
      <c r="F153" s="33" t="str">
        <f t="shared" ca="1" si="14"/>
        <v>D:\DPL\ISA3\Example Implementations\NASA Tool Wear\01) N_studies_with_1_assay_each\Data_mill\Case_14\Sensor\smcDC\Case_14_time_run_07.csv</v>
      </c>
      <c r="G153" s="33" t="str">
        <f t="shared" ca="1" si="14"/>
        <v>D:\DPL\ISA3\Example Implementations\NASA Tool Wear\01) N_studies_with_1_assay_each\Data_mill\Case_14\Sensor\AE_table\Case_14_time_run_07.csv</v>
      </c>
      <c r="H153" s="33" t="str">
        <f t="shared" ca="1" si="14"/>
        <v>D:\DPL\ISA3\Example Implementations\NASA Tool Wear\01) N_studies_with_1_assay_each\Data_mill\Case_14\Sensor\AE_spindle\Case_14_time_run_07.csv</v>
      </c>
      <c r="I153" s="33"/>
      <c r="J153" s="33"/>
      <c r="K153" s="33"/>
    </row>
    <row r="154" spans="1:11" x14ac:dyDescent="0.3">
      <c r="A154" s="17" t="s">
        <v>84</v>
      </c>
      <c r="B154" s="17" t="s">
        <v>199</v>
      </c>
      <c r="C154" s="33" t="str">
        <f t="shared" ca="1" si="15"/>
        <v>D:\DPL\ISA3\Example Implementations\NASA Tool Wear\01) N_studies_with_1_assay_each\Data_mill\Case_14\Sensor\vib_table\Case_14_time_run_08.csv</v>
      </c>
      <c r="D154" s="33" t="str">
        <f t="shared" ca="1" si="14"/>
        <v>D:\DPL\ISA3\Example Implementations\NASA Tool Wear\01) N_studies_with_1_assay_each\Data_mill\Case_14\Sensor\vib_spindle\Case_14_time_run_08.csv</v>
      </c>
      <c r="E154" s="33" t="str">
        <f t="shared" ca="1" si="14"/>
        <v>D:\DPL\ISA3\Example Implementations\NASA Tool Wear\01) N_studies_with_1_assay_each\Data_mill\Case_14\Sensor\smcAC\Case_14_time_run_08.csv</v>
      </c>
      <c r="F154" s="33" t="str">
        <f t="shared" ca="1" si="14"/>
        <v>D:\DPL\ISA3\Example Implementations\NASA Tool Wear\01) N_studies_with_1_assay_each\Data_mill\Case_14\Sensor\smcDC\Case_14_time_run_08.csv</v>
      </c>
      <c r="G154" s="33" t="str">
        <f t="shared" ca="1" si="14"/>
        <v>D:\DPL\ISA3\Example Implementations\NASA Tool Wear\01) N_studies_with_1_assay_each\Data_mill\Case_14\Sensor\AE_table\Case_14_time_run_08.csv</v>
      </c>
      <c r="H154" s="33" t="str">
        <f t="shared" ca="1" si="14"/>
        <v>D:\DPL\ISA3\Example Implementations\NASA Tool Wear\01) N_studies_with_1_assay_each\Data_mill\Case_14\Sensor\AE_spindle\Case_14_time_run_08.csv</v>
      </c>
      <c r="I154" s="33"/>
      <c r="J154" s="33"/>
      <c r="K154" s="33"/>
    </row>
    <row r="155" spans="1:11" s="51" customFormat="1" x14ac:dyDescent="0.3">
      <c r="A155" s="57" t="s">
        <v>84</v>
      </c>
      <c r="B155" s="57" t="s">
        <v>200</v>
      </c>
      <c r="C155" s="63" t="str">
        <f t="shared" ca="1" si="15"/>
        <v>D:\DPL\ISA3\Example Implementations\NASA Tool Wear\01) N_studies_with_1_assay_each\Data_mill\Case_14\Sensor\vib_table\Case_14_time_run_09.csv</v>
      </c>
      <c r="D155" s="63" t="str">
        <f t="shared" ca="1" si="14"/>
        <v>D:\DPL\ISA3\Example Implementations\NASA Tool Wear\01) N_studies_with_1_assay_each\Data_mill\Case_14\Sensor\vib_spindle\Case_14_time_run_09.csv</v>
      </c>
      <c r="E155" s="63" t="str">
        <f t="shared" ca="1" si="14"/>
        <v>D:\DPL\ISA3\Example Implementations\NASA Tool Wear\01) N_studies_with_1_assay_each\Data_mill\Case_14\Sensor\smcAC\Case_14_time_run_09.csv</v>
      </c>
      <c r="F155" s="63" t="str">
        <f t="shared" ca="1" si="14"/>
        <v>D:\DPL\ISA3\Example Implementations\NASA Tool Wear\01) N_studies_with_1_assay_each\Data_mill\Case_14\Sensor\smcDC\Case_14_time_run_09.csv</v>
      </c>
      <c r="G155" s="63" t="str">
        <f t="shared" ca="1" si="14"/>
        <v>D:\DPL\ISA3\Example Implementations\NASA Tool Wear\01) N_studies_with_1_assay_each\Data_mill\Case_14\Sensor\AE_table\Case_14_time_run_09.csv</v>
      </c>
      <c r="H155" s="63" t="str">
        <f t="shared" ca="1" si="14"/>
        <v>D:\DPL\ISA3\Example Implementations\NASA Tool Wear\01) N_studies_with_1_assay_each\Data_mill\Case_14\Sensor\AE_spindle\Case_14_time_run_09.csv</v>
      </c>
      <c r="I155" s="63"/>
      <c r="J155" s="63"/>
      <c r="K155" s="63"/>
    </row>
    <row r="156" spans="1:11" x14ac:dyDescent="0.3">
      <c r="A156" s="17" t="s">
        <v>85</v>
      </c>
      <c r="B156" s="17" t="s">
        <v>192</v>
      </c>
      <c r="C156" s="33" t="str">
        <f t="shared" ca="1" si="15"/>
        <v>D:\DPL\ISA3\Example Implementations\NASA Tool Wear\01) N_studies_with_1_assay_each\Data_mill\Case_15\Sensor\vib_table\Case_15_time_run_01.csv</v>
      </c>
      <c r="D156" s="33" t="str">
        <f t="shared" ca="1" si="14"/>
        <v>D:\DPL\ISA3\Example Implementations\NASA Tool Wear\01) N_studies_with_1_assay_each\Data_mill\Case_15\Sensor\vib_spindle\Case_15_time_run_01.csv</v>
      </c>
      <c r="E156" s="33" t="str">
        <f t="shared" ca="1" si="14"/>
        <v>D:\DPL\ISA3\Example Implementations\NASA Tool Wear\01) N_studies_with_1_assay_each\Data_mill\Case_15\Sensor\smcAC\Case_15_time_run_01.csv</v>
      </c>
      <c r="F156" s="33" t="str">
        <f t="shared" ca="1" si="14"/>
        <v>D:\DPL\ISA3\Example Implementations\NASA Tool Wear\01) N_studies_with_1_assay_each\Data_mill\Case_15\Sensor\smcDC\Case_15_time_run_01.csv</v>
      </c>
      <c r="G156" s="33" t="str">
        <f t="shared" ca="1" si="14"/>
        <v>D:\DPL\ISA3\Example Implementations\NASA Tool Wear\01) N_studies_with_1_assay_each\Data_mill\Case_15\Sensor\AE_table\Case_15_time_run_01.csv</v>
      </c>
      <c r="H156" s="33" t="str">
        <f t="shared" ca="1" si="14"/>
        <v>D:\DPL\ISA3\Example Implementations\NASA Tool Wear\01) N_studies_with_1_assay_each\Data_mill\Case_15\Sensor\AE_spindle\Case_15_time_run_01.csv</v>
      </c>
      <c r="I156" s="33"/>
      <c r="J156" s="33"/>
      <c r="K156" s="33"/>
    </row>
    <row r="157" spans="1:11" x14ac:dyDescent="0.3">
      <c r="A157" s="17" t="s">
        <v>85</v>
      </c>
      <c r="B157" s="17" t="s">
        <v>193</v>
      </c>
      <c r="C157" s="33" t="str">
        <f t="shared" ca="1" si="15"/>
        <v>D:\DPL\ISA3\Example Implementations\NASA Tool Wear\01) N_studies_with_1_assay_each\Data_mill\Case_15\Sensor\vib_table\Case_15_time_run_02.csv</v>
      </c>
      <c r="D157" s="33" t="str">
        <f t="shared" ref="D157:H167" ca="1" si="16">"D:\DPL\ISA3\Example Implementations\NASA Tool Wear\01) N_studies_with_1_assay_each\Data_mill\Case_"&amp;_xlfn.TEXTAFTER($A157,"s")&amp;"\Sensor\"&amp;D$1&amp;"\Case_"&amp;_xlfn.TEXTAFTER($A157,"s")&amp;"_time_run_"&amp;_xlfn.TEXTAFTER($B157,"Run ")&amp;".csv"</f>
        <v>D:\DPL\ISA3\Example Implementations\NASA Tool Wear\01) N_studies_with_1_assay_each\Data_mill\Case_15\Sensor\vib_spindle\Case_15_time_run_02.csv</v>
      </c>
      <c r="E157" s="33" t="str">
        <f t="shared" ca="1" si="16"/>
        <v>D:\DPL\ISA3\Example Implementations\NASA Tool Wear\01) N_studies_with_1_assay_each\Data_mill\Case_15\Sensor\smcAC\Case_15_time_run_02.csv</v>
      </c>
      <c r="F157" s="33" t="str">
        <f t="shared" ca="1" si="16"/>
        <v>D:\DPL\ISA3\Example Implementations\NASA Tool Wear\01) N_studies_with_1_assay_each\Data_mill\Case_15\Sensor\smcDC\Case_15_time_run_02.csv</v>
      </c>
      <c r="G157" s="33" t="str">
        <f t="shared" ca="1" si="16"/>
        <v>D:\DPL\ISA3\Example Implementations\NASA Tool Wear\01) N_studies_with_1_assay_each\Data_mill\Case_15\Sensor\AE_table\Case_15_time_run_02.csv</v>
      </c>
      <c r="H157" s="33" t="str">
        <f t="shared" ca="1" si="16"/>
        <v>D:\DPL\ISA3\Example Implementations\NASA Tool Wear\01) N_studies_with_1_assay_each\Data_mill\Case_15\Sensor\AE_spindle\Case_15_time_run_02.csv</v>
      </c>
      <c r="I157" s="33"/>
      <c r="J157" s="33"/>
      <c r="K157" s="33"/>
    </row>
    <row r="158" spans="1:11" x14ac:dyDescent="0.3">
      <c r="A158" s="17" t="s">
        <v>85</v>
      </c>
      <c r="B158" s="17" t="s">
        <v>194</v>
      </c>
      <c r="C158" s="33" t="str">
        <f t="shared" ca="1" si="15"/>
        <v>D:\DPL\ISA3\Example Implementations\NASA Tool Wear\01) N_studies_with_1_assay_each\Data_mill\Case_15\Sensor\vib_table\Case_15_time_run_03.csv</v>
      </c>
      <c r="D158" s="33" t="str">
        <f t="shared" ca="1" si="16"/>
        <v>D:\DPL\ISA3\Example Implementations\NASA Tool Wear\01) N_studies_with_1_assay_each\Data_mill\Case_15\Sensor\vib_spindle\Case_15_time_run_03.csv</v>
      </c>
      <c r="E158" s="33" t="str">
        <f t="shared" ca="1" si="16"/>
        <v>D:\DPL\ISA3\Example Implementations\NASA Tool Wear\01) N_studies_with_1_assay_each\Data_mill\Case_15\Sensor\smcAC\Case_15_time_run_03.csv</v>
      </c>
      <c r="F158" s="33" t="str">
        <f t="shared" ca="1" si="16"/>
        <v>D:\DPL\ISA3\Example Implementations\NASA Tool Wear\01) N_studies_with_1_assay_each\Data_mill\Case_15\Sensor\smcDC\Case_15_time_run_03.csv</v>
      </c>
      <c r="G158" s="33" t="str">
        <f t="shared" ca="1" si="16"/>
        <v>D:\DPL\ISA3\Example Implementations\NASA Tool Wear\01) N_studies_with_1_assay_each\Data_mill\Case_15\Sensor\AE_table\Case_15_time_run_03.csv</v>
      </c>
      <c r="H158" s="33" t="str">
        <f t="shared" ca="1" si="16"/>
        <v>D:\DPL\ISA3\Example Implementations\NASA Tool Wear\01) N_studies_with_1_assay_each\Data_mill\Case_15\Sensor\AE_spindle\Case_15_time_run_03.csv</v>
      </c>
      <c r="I158" s="33"/>
      <c r="J158" s="33"/>
      <c r="K158" s="33"/>
    </row>
    <row r="159" spans="1:11" x14ac:dyDescent="0.3">
      <c r="A159" s="17" t="s">
        <v>85</v>
      </c>
      <c r="B159" s="17" t="s">
        <v>195</v>
      </c>
      <c r="C159" s="33" t="str">
        <f t="shared" ca="1" si="15"/>
        <v>D:\DPL\ISA3\Example Implementations\NASA Tool Wear\01) N_studies_with_1_assay_each\Data_mill\Case_15\Sensor\vib_table\Case_15_time_run_04.csv</v>
      </c>
      <c r="D159" s="33" t="str">
        <f t="shared" ca="1" si="16"/>
        <v>D:\DPL\ISA3\Example Implementations\NASA Tool Wear\01) N_studies_with_1_assay_each\Data_mill\Case_15\Sensor\vib_spindle\Case_15_time_run_04.csv</v>
      </c>
      <c r="E159" s="33" t="str">
        <f t="shared" ca="1" si="16"/>
        <v>D:\DPL\ISA3\Example Implementations\NASA Tool Wear\01) N_studies_with_1_assay_each\Data_mill\Case_15\Sensor\smcAC\Case_15_time_run_04.csv</v>
      </c>
      <c r="F159" s="33" t="str">
        <f t="shared" ca="1" si="16"/>
        <v>D:\DPL\ISA3\Example Implementations\NASA Tool Wear\01) N_studies_with_1_assay_each\Data_mill\Case_15\Sensor\smcDC\Case_15_time_run_04.csv</v>
      </c>
      <c r="G159" s="33" t="str">
        <f t="shared" ca="1" si="16"/>
        <v>D:\DPL\ISA3\Example Implementations\NASA Tool Wear\01) N_studies_with_1_assay_each\Data_mill\Case_15\Sensor\AE_table\Case_15_time_run_04.csv</v>
      </c>
      <c r="H159" s="33" t="str">
        <f t="shared" ca="1" si="16"/>
        <v>D:\DPL\ISA3\Example Implementations\NASA Tool Wear\01) N_studies_with_1_assay_each\Data_mill\Case_15\Sensor\AE_spindle\Case_15_time_run_04.csv</v>
      </c>
      <c r="I159" s="33"/>
      <c r="J159" s="33"/>
      <c r="K159" s="33"/>
    </row>
    <row r="160" spans="1:11" x14ac:dyDescent="0.3">
      <c r="A160" s="17" t="s">
        <v>85</v>
      </c>
      <c r="B160" s="17" t="s">
        <v>196</v>
      </c>
      <c r="C160" s="33" t="str">
        <f t="shared" ca="1" si="15"/>
        <v>D:\DPL\ISA3\Example Implementations\NASA Tool Wear\01) N_studies_with_1_assay_each\Data_mill\Case_15\Sensor\vib_table\Case_15_time_run_05.csv</v>
      </c>
      <c r="D160" s="33" t="str">
        <f t="shared" ca="1" si="16"/>
        <v>D:\DPL\ISA3\Example Implementations\NASA Tool Wear\01) N_studies_with_1_assay_each\Data_mill\Case_15\Sensor\vib_spindle\Case_15_time_run_05.csv</v>
      </c>
      <c r="E160" s="33" t="str">
        <f t="shared" ca="1" si="16"/>
        <v>D:\DPL\ISA3\Example Implementations\NASA Tool Wear\01) N_studies_with_1_assay_each\Data_mill\Case_15\Sensor\smcAC\Case_15_time_run_05.csv</v>
      </c>
      <c r="F160" s="33" t="str">
        <f t="shared" ca="1" si="16"/>
        <v>D:\DPL\ISA3\Example Implementations\NASA Tool Wear\01) N_studies_with_1_assay_each\Data_mill\Case_15\Sensor\smcDC\Case_15_time_run_05.csv</v>
      </c>
      <c r="G160" s="33" t="str">
        <f t="shared" ca="1" si="16"/>
        <v>D:\DPL\ISA3\Example Implementations\NASA Tool Wear\01) N_studies_with_1_assay_each\Data_mill\Case_15\Sensor\AE_table\Case_15_time_run_05.csv</v>
      </c>
      <c r="H160" s="33" t="str">
        <f t="shared" ca="1" si="16"/>
        <v>D:\DPL\ISA3\Example Implementations\NASA Tool Wear\01) N_studies_with_1_assay_each\Data_mill\Case_15\Sensor\AE_spindle\Case_15_time_run_05.csv</v>
      </c>
      <c r="I160" s="33"/>
      <c r="J160" s="33"/>
      <c r="K160" s="33"/>
    </row>
    <row r="161" spans="1:11" s="51" customFormat="1" x14ac:dyDescent="0.3">
      <c r="A161" s="57" t="s">
        <v>85</v>
      </c>
      <c r="B161" s="57" t="s">
        <v>197</v>
      </c>
      <c r="C161" s="63" t="str">
        <f t="shared" ca="1" si="15"/>
        <v>D:\DPL\ISA3\Example Implementations\NASA Tool Wear\01) N_studies_with_1_assay_each\Data_mill\Case_15\Sensor\vib_table\Case_15_time_run_06.csv</v>
      </c>
      <c r="D161" s="63" t="str">
        <f t="shared" ca="1" si="16"/>
        <v>D:\DPL\ISA3\Example Implementations\NASA Tool Wear\01) N_studies_with_1_assay_each\Data_mill\Case_15\Sensor\vib_spindle\Case_15_time_run_06.csv</v>
      </c>
      <c r="E161" s="63" t="str">
        <f t="shared" ca="1" si="16"/>
        <v>D:\DPL\ISA3\Example Implementations\NASA Tool Wear\01) N_studies_with_1_assay_each\Data_mill\Case_15\Sensor\smcAC\Case_15_time_run_06.csv</v>
      </c>
      <c r="F161" s="63" t="str">
        <f t="shared" ca="1" si="16"/>
        <v>D:\DPL\ISA3\Example Implementations\NASA Tool Wear\01) N_studies_with_1_assay_each\Data_mill\Case_15\Sensor\smcDC\Case_15_time_run_06.csv</v>
      </c>
      <c r="G161" s="63" t="str">
        <f t="shared" ca="1" si="16"/>
        <v>D:\DPL\ISA3\Example Implementations\NASA Tool Wear\01) N_studies_with_1_assay_each\Data_mill\Case_15\Sensor\AE_table\Case_15_time_run_06.csv</v>
      </c>
      <c r="H161" s="63" t="str">
        <f t="shared" ca="1" si="16"/>
        <v>D:\DPL\ISA3\Example Implementations\NASA Tool Wear\01) N_studies_with_1_assay_each\Data_mill\Case_15\Sensor\AE_spindle\Case_15_time_run_06.csv</v>
      </c>
      <c r="I161" s="63"/>
      <c r="J161" s="63"/>
      <c r="K161" s="63"/>
    </row>
    <row r="162" spans="1:11" x14ac:dyDescent="0.3">
      <c r="A162" s="17" t="s">
        <v>86</v>
      </c>
      <c r="B162" s="17" t="s">
        <v>192</v>
      </c>
      <c r="C162" s="33" t="str">
        <f t="shared" ca="1" si="15"/>
        <v>D:\DPL\ISA3\Example Implementations\NASA Tool Wear\01) N_studies_with_1_assay_each\Data_mill\Case_16\Sensor\vib_table\Case_16_time_run_01.csv</v>
      </c>
      <c r="D162" s="33" t="str">
        <f t="shared" ca="1" si="16"/>
        <v>D:\DPL\ISA3\Example Implementations\NASA Tool Wear\01) N_studies_with_1_assay_each\Data_mill\Case_16\Sensor\vib_spindle\Case_16_time_run_01.csv</v>
      </c>
      <c r="E162" s="33" t="str">
        <f t="shared" ca="1" si="16"/>
        <v>D:\DPL\ISA3\Example Implementations\NASA Tool Wear\01) N_studies_with_1_assay_each\Data_mill\Case_16\Sensor\smcAC\Case_16_time_run_01.csv</v>
      </c>
      <c r="F162" s="33" t="str">
        <f t="shared" ca="1" si="16"/>
        <v>D:\DPL\ISA3\Example Implementations\NASA Tool Wear\01) N_studies_with_1_assay_each\Data_mill\Case_16\Sensor\smcDC\Case_16_time_run_01.csv</v>
      </c>
      <c r="G162" s="33" t="str">
        <f t="shared" ca="1" si="16"/>
        <v>D:\DPL\ISA3\Example Implementations\NASA Tool Wear\01) N_studies_with_1_assay_each\Data_mill\Case_16\Sensor\AE_table\Case_16_time_run_01.csv</v>
      </c>
      <c r="H162" s="33" t="str">
        <f t="shared" ca="1" si="16"/>
        <v>D:\DPL\ISA3\Example Implementations\NASA Tool Wear\01) N_studies_with_1_assay_each\Data_mill\Case_16\Sensor\AE_spindle\Case_16_time_run_01.csv</v>
      </c>
      <c r="I162" s="33"/>
      <c r="J162" s="33"/>
      <c r="K162" s="33"/>
    </row>
    <row r="163" spans="1:11" x14ac:dyDescent="0.3">
      <c r="A163" s="17" t="s">
        <v>86</v>
      </c>
      <c r="B163" s="17" t="s">
        <v>193</v>
      </c>
      <c r="C163" s="33" t="str">
        <f t="shared" ca="1" si="15"/>
        <v>D:\DPL\ISA3\Example Implementations\NASA Tool Wear\01) N_studies_with_1_assay_each\Data_mill\Case_16\Sensor\vib_table\Case_16_time_run_02.csv</v>
      </c>
      <c r="D163" s="33" t="str">
        <f t="shared" ca="1" si="16"/>
        <v>D:\DPL\ISA3\Example Implementations\NASA Tool Wear\01) N_studies_with_1_assay_each\Data_mill\Case_16\Sensor\vib_spindle\Case_16_time_run_02.csv</v>
      </c>
      <c r="E163" s="33" t="str">
        <f t="shared" ca="1" si="16"/>
        <v>D:\DPL\ISA3\Example Implementations\NASA Tool Wear\01) N_studies_with_1_assay_each\Data_mill\Case_16\Sensor\smcAC\Case_16_time_run_02.csv</v>
      </c>
      <c r="F163" s="33" t="str">
        <f t="shared" ca="1" si="16"/>
        <v>D:\DPL\ISA3\Example Implementations\NASA Tool Wear\01) N_studies_with_1_assay_each\Data_mill\Case_16\Sensor\smcDC\Case_16_time_run_02.csv</v>
      </c>
      <c r="G163" s="33" t="str">
        <f t="shared" ca="1" si="16"/>
        <v>D:\DPL\ISA3\Example Implementations\NASA Tool Wear\01) N_studies_with_1_assay_each\Data_mill\Case_16\Sensor\AE_table\Case_16_time_run_02.csv</v>
      </c>
      <c r="H163" s="33" t="str">
        <f t="shared" ca="1" si="16"/>
        <v>D:\DPL\ISA3\Example Implementations\NASA Tool Wear\01) N_studies_with_1_assay_each\Data_mill\Case_16\Sensor\AE_spindle\Case_16_time_run_02.csv</v>
      </c>
      <c r="I163" s="33"/>
      <c r="J163" s="33"/>
      <c r="K163" s="33"/>
    </row>
    <row r="164" spans="1:11" x14ac:dyDescent="0.3">
      <c r="A164" s="17" t="s">
        <v>86</v>
      </c>
      <c r="B164" s="17" t="s">
        <v>194</v>
      </c>
      <c r="C164" s="33" t="str">
        <f t="shared" ca="1" si="15"/>
        <v>D:\DPL\ISA3\Example Implementations\NASA Tool Wear\01) N_studies_with_1_assay_each\Data_mill\Case_16\Sensor\vib_table\Case_16_time_run_03.csv</v>
      </c>
      <c r="D164" s="33" t="str">
        <f t="shared" ca="1" si="16"/>
        <v>D:\DPL\ISA3\Example Implementations\NASA Tool Wear\01) N_studies_with_1_assay_each\Data_mill\Case_16\Sensor\vib_spindle\Case_16_time_run_03.csv</v>
      </c>
      <c r="E164" s="33" t="str">
        <f t="shared" ca="1" si="16"/>
        <v>D:\DPL\ISA3\Example Implementations\NASA Tool Wear\01) N_studies_with_1_assay_each\Data_mill\Case_16\Sensor\smcAC\Case_16_time_run_03.csv</v>
      </c>
      <c r="F164" s="33" t="str">
        <f t="shared" ca="1" si="16"/>
        <v>D:\DPL\ISA3\Example Implementations\NASA Tool Wear\01) N_studies_with_1_assay_each\Data_mill\Case_16\Sensor\smcDC\Case_16_time_run_03.csv</v>
      </c>
      <c r="G164" s="33" t="str">
        <f t="shared" ca="1" si="16"/>
        <v>D:\DPL\ISA3\Example Implementations\NASA Tool Wear\01) N_studies_with_1_assay_each\Data_mill\Case_16\Sensor\AE_table\Case_16_time_run_03.csv</v>
      </c>
      <c r="H164" s="33" t="str">
        <f t="shared" ca="1" si="16"/>
        <v>D:\DPL\ISA3\Example Implementations\NASA Tool Wear\01) N_studies_with_1_assay_each\Data_mill\Case_16\Sensor\AE_spindle\Case_16_time_run_03.csv</v>
      </c>
      <c r="I164" s="33"/>
      <c r="J164" s="33"/>
      <c r="K164" s="33"/>
    </row>
    <row r="165" spans="1:11" x14ac:dyDescent="0.3">
      <c r="A165" s="17" t="s">
        <v>86</v>
      </c>
      <c r="B165" s="17" t="s">
        <v>195</v>
      </c>
      <c r="C165" s="33" t="str">
        <f t="shared" ca="1" si="15"/>
        <v>D:\DPL\ISA3\Example Implementations\NASA Tool Wear\01) N_studies_with_1_assay_each\Data_mill\Case_16\Sensor\vib_table\Case_16_time_run_04.csv</v>
      </c>
      <c r="D165" s="33" t="str">
        <f t="shared" ca="1" si="16"/>
        <v>D:\DPL\ISA3\Example Implementations\NASA Tool Wear\01) N_studies_with_1_assay_each\Data_mill\Case_16\Sensor\vib_spindle\Case_16_time_run_04.csv</v>
      </c>
      <c r="E165" s="33" t="str">
        <f t="shared" ca="1" si="16"/>
        <v>D:\DPL\ISA3\Example Implementations\NASA Tool Wear\01) N_studies_with_1_assay_each\Data_mill\Case_16\Sensor\smcAC\Case_16_time_run_04.csv</v>
      </c>
      <c r="F165" s="33" t="str">
        <f t="shared" ca="1" si="16"/>
        <v>D:\DPL\ISA3\Example Implementations\NASA Tool Wear\01) N_studies_with_1_assay_each\Data_mill\Case_16\Sensor\smcDC\Case_16_time_run_04.csv</v>
      </c>
      <c r="G165" s="33" t="str">
        <f t="shared" ca="1" si="16"/>
        <v>D:\DPL\ISA3\Example Implementations\NASA Tool Wear\01) N_studies_with_1_assay_each\Data_mill\Case_16\Sensor\AE_table\Case_16_time_run_04.csv</v>
      </c>
      <c r="H165" s="33" t="str">
        <f t="shared" ca="1" si="16"/>
        <v>D:\DPL\ISA3\Example Implementations\NASA Tool Wear\01) N_studies_with_1_assay_each\Data_mill\Case_16\Sensor\AE_spindle\Case_16_time_run_04.csv</v>
      </c>
      <c r="I165" s="33"/>
      <c r="J165" s="33"/>
      <c r="K165" s="33"/>
    </row>
    <row r="166" spans="1:11" x14ac:dyDescent="0.3">
      <c r="A166" s="17" t="s">
        <v>86</v>
      </c>
      <c r="B166" s="17" t="s">
        <v>196</v>
      </c>
      <c r="C166" s="33" t="str">
        <f t="shared" ca="1" si="15"/>
        <v>D:\DPL\ISA3\Example Implementations\NASA Tool Wear\01) N_studies_with_1_assay_each\Data_mill\Case_16\Sensor\vib_table\Case_16_time_run_05.csv</v>
      </c>
      <c r="D166" s="33" t="str">
        <f t="shared" ca="1" si="16"/>
        <v>D:\DPL\ISA3\Example Implementations\NASA Tool Wear\01) N_studies_with_1_assay_each\Data_mill\Case_16\Sensor\vib_spindle\Case_16_time_run_05.csv</v>
      </c>
      <c r="E166" s="33" t="str">
        <f t="shared" ca="1" si="16"/>
        <v>D:\DPL\ISA3\Example Implementations\NASA Tool Wear\01) N_studies_with_1_assay_each\Data_mill\Case_16\Sensor\smcAC\Case_16_time_run_05.csv</v>
      </c>
      <c r="F166" s="33" t="str">
        <f t="shared" ca="1" si="16"/>
        <v>D:\DPL\ISA3\Example Implementations\NASA Tool Wear\01) N_studies_with_1_assay_each\Data_mill\Case_16\Sensor\smcDC\Case_16_time_run_05.csv</v>
      </c>
      <c r="G166" s="33" t="str">
        <f t="shared" ca="1" si="16"/>
        <v>D:\DPL\ISA3\Example Implementations\NASA Tool Wear\01) N_studies_with_1_assay_each\Data_mill\Case_16\Sensor\AE_table\Case_16_time_run_05.csv</v>
      </c>
      <c r="H166" s="33" t="str">
        <f t="shared" ca="1" si="16"/>
        <v>D:\DPL\ISA3\Example Implementations\NASA Tool Wear\01) N_studies_with_1_assay_each\Data_mill\Case_16\Sensor\AE_spindle\Case_16_time_run_05.csv</v>
      </c>
      <c r="I166" s="33"/>
      <c r="J166" s="33"/>
      <c r="K166" s="33"/>
    </row>
    <row r="167" spans="1:11" s="51" customFormat="1" x14ac:dyDescent="0.3">
      <c r="A167" s="57" t="s">
        <v>86</v>
      </c>
      <c r="B167" s="57" t="s">
        <v>197</v>
      </c>
      <c r="C167" s="63" t="str">
        <f t="shared" ca="1" si="15"/>
        <v>D:\DPL\ISA3\Example Implementations\NASA Tool Wear\01) N_studies_with_1_assay_each\Data_mill\Case_16\Sensor\vib_table\Case_16_time_run_06.csv</v>
      </c>
      <c r="D167" s="63" t="str">
        <f t="shared" ca="1" si="16"/>
        <v>D:\DPL\ISA3\Example Implementations\NASA Tool Wear\01) N_studies_with_1_assay_each\Data_mill\Case_16\Sensor\vib_spindle\Case_16_time_run_06.csv</v>
      </c>
      <c r="E167" s="63" t="str">
        <f t="shared" ca="1" si="16"/>
        <v>D:\DPL\ISA3\Example Implementations\NASA Tool Wear\01) N_studies_with_1_assay_each\Data_mill\Case_16\Sensor\smcAC\Case_16_time_run_06.csv</v>
      </c>
      <c r="F167" s="63" t="str">
        <f t="shared" ca="1" si="16"/>
        <v>D:\DPL\ISA3\Example Implementations\NASA Tool Wear\01) N_studies_with_1_assay_each\Data_mill\Case_16\Sensor\smcDC\Case_16_time_run_06.csv</v>
      </c>
      <c r="G167" s="63" t="str">
        <f t="shared" ca="1" si="16"/>
        <v>D:\DPL\ISA3\Example Implementations\NASA Tool Wear\01) N_studies_with_1_assay_each\Data_mill\Case_16\Sensor\AE_table\Case_16_time_run_06.csv</v>
      </c>
      <c r="H167" s="63" t="str">
        <f t="shared" ca="1" si="16"/>
        <v>D:\DPL\ISA3\Example Implementations\NASA Tool Wear\01) N_studies_with_1_assay_each\Data_mill\Case_16\Sensor\AE_spindle\Case_16_time_run_06.csv</v>
      </c>
      <c r="I167" s="63"/>
      <c r="J167" s="63"/>
      <c r="K167" s="63"/>
    </row>
    <row r="168" spans="1:11" x14ac:dyDescent="0.3">
      <c r="A168" s="17"/>
      <c r="B168" s="17"/>
    </row>
    <row r="169" spans="1:11" x14ac:dyDescent="0.3">
      <c r="A169" s="17"/>
      <c r="B169" s="17"/>
    </row>
    <row r="170" spans="1:11" x14ac:dyDescent="0.3">
      <c r="A170" s="17"/>
      <c r="B170" s="17"/>
    </row>
    <row r="171" spans="1:11" x14ac:dyDescent="0.3">
      <c r="A171" s="17"/>
      <c r="B171" s="17"/>
    </row>
    <row r="172" spans="1:11" x14ac:dyDescent="0.3">
      <c r="A172" s="17"/>
      <c r="B172" s="17"/>
    </row>
    <row r="173" spans="1:11" x14ac:dyDescent="0.3">
      <c r="A173" s="17"/>
      <c r="B173" s="17"/>
    </row>
    <row r="174" spans="1:11" x14ac:dyDescent="0.3">
      <c r="A174" s="17"/>
      <c r="B174" s="17"/>
    </row>
    <row r="175" spans="1:11" x14ac:dyDescent="0.3">
      <c r="A175" s="17"/>
      <c r="B175" s="17"/>
    </row>
    <row r="176" spans="1:11" x14ac:dyDescent="0.3">
      <c r="A176" s="17"/>
      <c r="B176" s="17"/>
    </row>
    <row r="177" spans="1:2" x14ac:dyDescent="0.3">
      <c r="A177" s="17"/>
      <c r="B177" s="17"/>
    </row>
    <row r="178" spans="1:2" x14ac:dyDescent="0.3">
      <c r="A178" s="17"/>
      <c r="B178" s="17"/>
    </row>
    <row r="179" spans="1:2" x14ac:dyDescent="0.3">
      <c r="A179" s="17"/>
      <c r="B179" s="17"/>
    </row>
    <row r="180" spans="1:2" x14ac:dyDescent="0.3">
      <c r="A180" s="17"/>
      <c r="B180" s="17"/>
    </row>
    <row r="181" spans="1:2" x14ac:dyDescent="0.3">
      <c r="A181" s="17"/>
      <c r="B181" s="17"/>
    </row>
    <row r="182" spans="1:2" x14ac:dyDescent="0.3">
      <c r="A182" s="17"/>
      <c r="B182" s="17"/>
    </row>
    <row r="183" spans="1:2" x14ac:dyDescent="0.3">
      <c r="A183" s="17"/>
      <c r="B183" s="17"/>
    </row>
    <row r="184" spans="1:2" x14ac:dyDescent="0.3">
      <c r="A184" s="17"/>
      <c r="B184" s="17"/>
    </row>
    <row r="185" spans="1:2" x14ac:dyDescent="0.3">
      <c r="A185" s="17"/>
      <c r="B185" s="17"/>
    </row>
    <row r="186" spans="1:2" x14ac:dyDescent="0.3">
      <c r="A186" s="17"/>
      <c r="B186" s="17"/>
    </row>
    <row r="187" spans="1:2" x14ac:dyDescent="0.3">
      <c r="A187" s="17"/>
      <c r="B187" s="17"/>
    </row>
    <row r="188" spans="1:2" x14ac:dyDescent="0.3">
      <c r="A188" s="17"/>
      <c r="B188" s="17"/>
    </row>
    <row r="189" spans="1:2" x14ac:dyDescent="0.3">
      <c r="A189" s="17"/>
      <c r="B189" s="17"/>
    </row>
    <row r="190" spans="1:2" x14ac:dyDescent="0.3">
      <c r="A190" s="17"/>
      <c r="B190" s="17"/>
    </row>
    <row r="191" spans="1:2" x14ac:dyDescent="0.3">
      <c r="A191" s="17"/>
      <c r="B191" s="17"/>
    </row>
    <row r="192" spans="1:2" x14ac:dyDescent="0.3">
      <c r="A192" s="17"/>
      <c r="B192" s="17"/>
    </row>
    <row r="193" spans="1:2" x14ac:dyDescent="0.3">
      <c r="A193" s="17"/>
      <c r="B193" s="17"/>
    </row>
    <row r="194" spans="1:2" x14ac:dyDescent="0.3">
      <c r="A194" s="17"/>
      <c r="B194" s="17"/>
    </row>
    <row r="195" spans="1:2" x14ac:dyDescent="0.3">
      <c r="A195" s="17"/>
      <c r="B195" s="17"/>
    </row>
    <row r="196" spans="1:2" x14ac:dyDescent="0.3">
      <c r="A196" s="17"/>
      <c r="B196" s="17"/>
    </row>
    <row r="197" spans="1:2" x14ac:dyDescent="0.3">
      <c r="A197" s="17"/>
      <c r="B197" s="17"/>
    </row>
    <row r="198" spans="1:2" x14ac:dyDescent="0.3">
      <c r="A198" s="17"/>
      <c r="B198" s="17"/>
    </row>
    <row r="199" spans="1:2" x14ac:dyDescent="0.3">
      <c r="A199" s="17"/>
      <c r="B199" s="17"/>
    </row>
    <row r="200" spans="1:2" x14ac:dyDescent="0.3">
      <c r="A200" s="17"/>
      <c r="B200" s="17"/>
    </row>
    <row r="201" spans="1:2" x14ac:dyDescent="0.3">
      <c r="A201" s="17"/>
      <c r="B201" s="17"/>
    </row>
    <row r="202" spans="1:2" x14ac:dyDescent="0.3">
      <c r="A202" s="17"/>
      <c r="B202" s="17"/>
    </row>
    <row r="203" spans="1:2" x14ac:dyDescent="0.3">
      <c r="A203" s="17"/>
      <c r="B203" s="17"/>
    </row>
    <row r="204" spans="1:2" x14ac:dyDescent="0.3">
      <c r="A204" s="17"/>
      <c r="B204" s="17"/>
    </row>
    <row r="205" spans="1:2" x14ac:dyDescent="0.3">
      <c r="A205" s="17"/>
      <c r="B205" s="17"/>
    </row>
    <row r="206" spans="1:2" x14ac:dyDescent="0.3">
      <c r="A206" s="17"/>
      <c r="B206" s="17"/>
    </row>
    <row r="207" spans="1:2" x14ac:dyDescent="0.3">
      <c r="A207" s="17"/>
      <c r="B207" s="17"/>
    </row>
    <row r="208" spans="1:2" x14ac:dyDescent="0.3">
      <c r="A208" s="17"/>
      <c r="B208" s="17"/>
    </row>
    <row r="209" spans="1:2" x14ac:dyDescent="0.3">
      <c r="A209" s="17"/>
      <c r="B209" s="17"/>
    </row>
    <row r="210" spans="1:2" x14ac:dyDescent="0.3">
      <c r="A210" s="17"/>
      <c r="B210" s="17"/>
    </row>
    <row r="211" spans="1:2" x14ac:dyDescent="0.3">
      <c r="A211" s="17"/>
      <c r="B211" s="17"/>
    </row>
    <row r="212" spans="1:2" x14ac:dyDescent="0.3">
      <c r="A212" s="17"/>
      <c r="B212" s="17"/>
    </row>
    <row r="213" spans="1:2" x14ac:dyDescent="0.3">
      <c r="A213" s="17"/>
      <c r="B213" s="17"/>
    </row>
    <row r="214" spans="1:2" x14ac:dyDescent="0.3">
      <c r="A214" s="17"/>
      <c r="B214" s="17"/>
    </row>
    <row r="215" spans="1:2" x14ac:dyDescent="0.3">
      <c r="A215" s="17"/>
      <c r="B215" s="17"/>
    </row>
    <row r="216" spans="1:2" x14ac:dyDescent="0.3">
      <c r="A216" s="17"/>
      <c r="B216" s="17"/>
    </row>
    <row r="217" spans="1:2" x14ac:dyDescent="0.3">
      <c r="A217" s="17"/>
      <c r="B217" s="17"/>
    </row>
    <row r="218" spans="1:2" x14ac:dyDescent="0.3">
      <c r="A218" s="17"/>
      <c r="B218" s="17"/>
    </row>
    <row r="219" spans="1:2" x14ac:dyDescent="0.3">
      <c r="A219" s="17"/>
      <c r="B219" s="17"/>
    </row>
    <row r="220" spans="1:2" x14ac:dyDescent="0.3">
      <c r="A220" s="17"/>
      <c r="B220" s="17"/>
    </row>
    <row r="221" spans="1:2" x14ac:dyDescent="0.3">
      <c r="A221" s="17"/>
      <c r="B221" s="17"/>
    </row>
    <row r="222" spans="1:2" x14ac:dyDescent="0.3">
      <c r="A222" s="17"/>
      <c r="B222" s="17"/>
    </row>
    <row r="223" spans="1:2" x14ac:dyDescent="0.3">
      <c r="A223" s="17"/>
      <c r="B223" s="17"/>
    </row>
    <row r="224" spans="1:2" x14ac:dyDescent="0.3">
      <c r="A224" s="17"/>
      <c r="B224" s="17"/>
    </row>
    <row r="225" spans="1:2" x14ac:dyDescent="0.3">
      <c r="A225" s="17"/>
      <c r="B225" s="17"/>
    </row>
    <row r="226" spans="1:2" x14ac:dyDescent="0.3">
      <c r="A226" s="17"/>
      <c r="B226" s="17"/>
    </row>
    <row r="227" spans="1:2" x14ac:dyDescent="0.3">
      <c r="A227" s="17"/>
      <c r="B227" s="17"/>
    </row>
    <row r="228" spans="1:2" x14ac:dyDescent="0.3">
      <c r="A228" s="17"/>
      <c r="B228" s="17"/>
    </row>
    <row r="229" spans="1:2" x14ac:dyDescent="0.3">
      <c r="A229" s="17"/>
      <c r="B229" s="17"/>
    </row>
    <row r="230" spans="1:2" x14ac:dyDescent="0.3">
      <c r="A230" s="17"/>
      <c r="B230" s="17"/>
    </row>
    <row r="231" spans="1:2" x14ac:dyDescent="0.3">
      <c r="A231" s="17"/>
      <c r="B231" s="17"/>
    </row>
    <row r="232" spans="1:2" x14ac:dyDescent="0.3">
      <c r="A232" s="17"/>
      <c r="B232" s="17"/>
    </row>
    <row r="233" spans="1:2" x14ac:dyDescent="0.3">
      <c r="A233" s="17"/>
      <c r="B233" s="17"/>
    </row>
    <row r="234" spans="1:2" x14ac:dyDescent="0.3">
      <c r="A234" s="17"/>
      <c r="B234" s="17"/>
    </row>
    <row r="235" spans="1:2" x14ac:dyDescent="0.3">
      <c r="A235" s="17"/>
      <c r="B235" s="17"/>
    </row>
    <row r="236" spans="1:2" x14ac:dyDescent="0.3">
      <c r="A236" s="17"/>
      <c r="B236" s="17"/>
    </row>
    <row r="237" spans="1:2" x14ac:dyDescent="0.3">
      <c r="A237" s="17"/>
      <c r="B237" s="17"/>
    </row>
    <row r="238" spans="1:2" x14ac:dyDescent="0.3">
      <c r="A238" s="17"/>
      <c r="B238" s="17"/>
    </row>
    <row r="239" spans="1:2" x14ac:dyDescent="0.3">
      <c r="A239" s="17"/>
      <c r="B239" s="17"/>
    </row>
    <row r="240" spans="1:2" x14ac:dyDescent="0.3">
      <c r="A240" s="17"/>
      <c r="B240" s="17"/>
    </row>
    <row r="241" spans="1:2" x14ac:dyDescent="0.3">
      <c r="A241" s="17"/>
      <c r="B241" s="17"/>
    </row>
    <row r="242" spans="1:2" x14ac:dyDescent="0.3">
      <c r="A242" s="17"/>
      <c r="B242" s="17"/>
    </row>
    <row r="243" spans="1:2" x14ac:dyDescent="0.3">
      <c r="A243" s="17"/>
      <c r="B243" s="17"/>
    </row>
    <row r="244" spans="1:2" x14ac:dyDescent="0.3">
      <c r="A244" s="17"/>
      <c r="B244" s="17"/>
    </row>
    <row r="245" spans="1:2" x14ac:dyDescent="0.3">
      <c r="A245" s="17"/>
      <c r="B245" s="17"/>
    </row>
    <row r="246" spans="1:2" x14ac:dyDescent="0.3">
      <c r="A246" s="17"/>
      <c r="B246" s="17"/>
    </row>
    <row r="247" spans="1:2" x14ac:dyDescent="0.3">
      <c r="A247" s="17"/>
      <c r="B247" s="17"/>
    </row>
    <row r="248" spans="1:2" x14ac:dyDescent="0.3">
      <c r="A248" s="17"/>
      <c r="B248" s="17"/>
    </row>
    <row r="249" spans="1:2" x14ac:dyDescent="0.3">
      <c r="A249" s="17"/>
      <c r="B249" s="17"/>
    </row>
    <row r="250" spans="1:2" x14ac:dyDescent="0.3">
      <c r="A250" s="17"/>
      <c r="B250" s="17"/>
    </row>
    <row r="251" spans="1:2" x14ac:dyDescent="0.3">
      <c r="A251" s="17"/>
      <c r="B251" s="17"/>
    </row>
    <row r="252" spans="1:2" x14ac:dyDescent="0.3">
      <c r="A252" s="17"/>
      <c r="B252" s="17"/>
    </row>
    <row r="253" spans="1:2" x14ac:dyDescent="0.3">
      <c r="A253" s="17"/>
      <c r="B253" s="17"/>
    </row>
    <row r="254" spans="1:2" x14ac:dyDescent="0.3">
      <c r="A254" s="17"/>
      <c r="B254" s="17"/>
    </row>
    <row r="255" spans="1:2" x14ac:dyDescent="0.3">
      <c r="A255" s="17"/>
      <c r="B255" s="17"/>
    </row>
    <row r="256" spans="1:2" x14ac:dyDescent="0.3">
      <c r="A256" s="17"/>
      <c r="B256" s="17"/>
    </row>
    <row r="257" spans="1:2" x14ac:dyDescent="0.3">
      <c r="A257" s="17"/>
      <c r="B257" s="17"/>
    </row>
    <row r="258" spans="1:2" x14ac:dyDescent="0.3">
      <c r="A258" s="17"/>
      <c r="B258" s="17"/>
    </row>
    <row r="259" spans="1:2" x14ac:dyDescent="0.3">
      <c r="A259" s="17"/>
      <c r="B259" s="17"/>
    </row>
    <row r="260" spans="1:2" x14ac:dyDescent="0.3">
      <c r="A260" s="17"/>
      <c r="B260" s="17"/>
    </row>
    <row r="261" spans="1:2" x14ac:dyDescent="0.3">
      <c r="A261" s="17"/>
      <c r="B261" s="17"/>
    </row>
    <row r="262" spans="1:2" x14ac:dyDescent="0.3">
      <c r="A262" s="17"/>
      <c r="B262" s="17"/>
    </row>
    <row r="263" spans="1:2" x14ac:dyDescent="0.3">
      <c r="A263" s="17"/>
      <c r="B263" s="17"/>
    </row>
    <row r="264" spans="1:2" x14ac:dyDescent="0.3">
      <c r="A264" s="17"/>
      <c r="B264" s="17"/>
    </row>
    <row r="265" spans="1:2" x14ac:dyDescent="0.3">
      <c r="A265" s="17"/>
      <c r="B265" s="17"/>
    </row>
    <row r="266" spans="1:2" x14ac:dyDescent="0.3">
      <c r="A266" s="17"/>
      <c r="B266" s="17"/>
    </row>
    <row r="267" spans="1:2" x14ac:dyDescent="0.3">
      <c r="A267" s="17"/>
      <c r="B267" s="17"/>
    </row>
    <row r="268" spans="1:2" x14ac:dyDescent="0.3">
      <c r="A268" s="17"/>
      <c r="B268" s="17"/>
    </row>
    <row r="269" spans="1:2" x14ac:dyDescent="0.3">
      <c r="A269" s="17"/>
      <c r="B269" s="17"/>
    </row>
    <row r="270" spans="1:2" x14ac:dyDescent="0.3">
      <c r="A270" s="17"/>
      <c r="B270" s="17"/>
    </row>
    <row r="271" spans="1:2" x14ac:dyDescent="0.3">
      <c r="A271" s="17"/>
      <c r="B271" s="17"/>
    </row>
    <row r="272" spans="1:2" x14ac:dyDescent="0.3">
      <c r="A272" s="17"/>
      <c r="B272" s="17"/>
    </row>
    <row r="273" spans="1:2" x14ac:dyDescent="0.3">
      <c r="A273" s="17"/>
      <c r="B273" s="17"/>
    </row>
    <row r="274" spans="1:2" x14ac:dyDescent="0.3">
      <c r="A274" s="17"/>
      <c r="B274" s="17"/>
    </row>
    <row r="275" spans="1:2" x14ac:dyDescent="0.3">
      <c r="A275" s="17"/>
      <c r="B275" s="24"/>
    </row>
    <row r="276" spans="1:2" x14ac:dyDescent="0.3">
      <c r="A276" s="17"/>
      <c r="B276" s="24"/>
    </row>
    <row r="277" spans="1:2" x14ac:dyDescent="0.3">
      <c r="A277" s="17"/>
      <c r="B277" s="24"/>
    </row>
    <row r="278" spans="1:2" x14ac:dyDescent="0.3">
      <c r="A278" s="17"/>
      <c r="B278" s="24"/>
    </row>
    <row r="279" spans="1:2" x14ac:dyDescent="0.3">
      <c r="A279" s="17"/>
      <c r="B279" s="24"/>
    </row>
    <row r="280" spans="1:2" x14ac:dyDescent="0.3">
      <c r="A280" s="17"/>
      <c r="B280" s="24"/>
    </row>
    <row r="281" spans="1:2" x14ac:dyDescent="0.3">
      <c r="A281" s="17"/>
      <c r="B281" s="24"/>
    </row>
    <row r="282" spans="1:2" x14ac:dyDescent="0.3">
      <c r="A282" s="17"/>
      <c r="B282" s="24"/>
    </row>
    <row r="283" spans="1:2" x14ac:dyDescent="0.3">
      <c r="A283" s="17"/>
      <c r="B283" s="24"/>
    </row>
    <row r="284" spans="1:2" x14ac:dyDescent="0.3">
      <c r="A284" s="17"/>
      <c r="B284" s="24"/>
    </row>
    <row r="285" spans="1:2" x14ac:dyDescent="0.3">
      <c r="A285" s="17"/>
      <c r="B285" s="24"/>
    </row>
    <row r="286" spans="1:2" x14ac:dyDescent="0.3">
      <c r="A286" s="17"/>
      <c r="B286" s="24"/>
    </row>
    <row r="287" spans="1:2" x14ac:dyDescent="0.3">
      <c r="A287" s="17"/>
      <c r="B287" s="24"/>
    </row>
    <row r="288" spans="1:2" x14ac:dyDescent="0.3">
      <c r="A288" s="17"/>
      <c r="B288" s="24"/>
    </row>
    <row r="289" spans="1:2" x14ac:dyDescent="0.3">
      <c r="A289" s="17"/>
      <c r="B289" s="24"/>
    </row>
    <row r="290" spans="1:2" x14ac:dyDescent="0.3">
      <c r="A290" s="17"/>
      <c r="B290" s="24"/>
    </row>
    <row r="291" spans="1:2" x14ac:dyDescent="0.3">
      <c r="A291" s="17"/>
      <c r="B291" s="24"/>
    </row>
    <row r="292" spans="1:2" x14ac:dyDescent="0.3">
      <c r="A292" s="17"/>
      <c r="B292" s="24"/>
    </row>
    <row r="293" spans="1:2" x14ac:dyDescent="0.3">
      <c r="A293" s="17"/>
      <c r="B293" s="24"/>
    </row>
    <row r="294" spans="1:2" x14ac:dyDescent="0.3">
      <c r="A294" s="17"/>
      <c r="B294" s="24"/>
    </row>
    <row r="295" spans="1:2" x14ac:dyDescent="0.3">
      <c r="A295" s="17"/>
      <c r="B295" s="24"/>
    </row>
    <row r="296" spans="1:2" x14ac:dyDescent="0.3">
      <c r="A296" s="17"/>
      <c r="B296" s="24"/>
    </row>
    <row r="297" spans="1:2" x14ac:dyDescent="0.3">
      <c r="A297" s="17"/>
      <c r="B297" s="24"/>
    </row>
    <row r="298" spans="1:2" x14ac:dyDescent="0.3">
      <c r="A298" s="17"/>
      <c r="B298" s="24"/>
    </row>
    <row r="299" spans="1:2" x14ac:dyDescent="0.3">
      <c r="A299" s="17"/>
      <c r="B299" s="24"/>
    </row>
    <row r="300" spans="1:2" x14ac:dyDescent="0.3">
      <c r="A300" s="17"/>
      <c r="B300" s="24"/>
    </row>
    <row r="301" spans="1:2" x14ac:dyDescent="0.3">
      <c r="A301" s="17"/>
      <c r="B301" s="24"/>
    </row>
    <row r="302" spans="1:2" x14ac:dyDescent="0.3">
      <c r="A302" s="17"/>
      <c r="B302" s="24"/>
    </row>
    <row r="303" spans="1:2" x14ac:dyDescent="0.3">
      <c r="A303" s="17"/>
      <c r="B303" s="24"/>
    </row>
    <row r="304" spans="1:2" x14ac:dyDescent="0.3">
      <c r="A304" s="17"/>
      <c r="B304" s="24"/>
    </row>
    <row r="305" spans="1:2" x14ac:dyDescent="0.3">
      <c r="A305" s="17"/>
      <c r="B305" s="24"/>
    </row>
    <row r="306" spans="1:2" x14ac:dyDescent="0.3">
      <c r="A306" s="17"/>
      <c r="B306" s="24"/>
    </row>
    <row r="307" spans="1:2" x14ac:dyDescent="0.3">
      <c r="A307" s="17"/>
      <c r="B307" s="24"/>
    </row>
    <row r="308" spans="1:2" x14ac:dyDescent="0.3">
      <c r="A308" s="17"/>
      <c r="B308" s="24"/>
    </row>
    <row r="309" spans="1:2" x14ac:dyDescent="0.3">
      <c r="A309" s="17"/>
      <c r="B309" s="24"/>
    </row>
    <row r="310" spans="1:2" x14ac:dyDescent="0.3">
      <c r="A310" s="17"/>
      <c r="B310" s="24"/>
    </row>
    <row r="311" spans="1:2" x14ac:dyDescent="0.3">
      <c r="A311" s="17"/>
      <c r="B311" s="24"/>
    </row>
    <row r="312" spans="1:2" x14ac:dyDescent="0.3">
      <c r="A312" s="17"/>
      <c r="B312" s="24"/>
    </row>
    <row r="313" spans="1:2" x14ac:dyDescent="0.3">
      <c r="A313" s="17"/>
      <c r="B313" s="24"/>
    </row>
    <row r="314" spans="1:2" x14ac:dyDescent="0.3">
      <c r="A314" s="17"/>
      <c r="B314" s="24"/>
    </row>
    <row r="315" spans="1:2" x14ac:dyDescent="0.3">
      <c r="A315" s="17"/>
      <c r="B315" s="24"/>
    </row>
    <row r="316" spans="1:2" x14ac:dyDescent="0.3">
      <c r="A316" s="17"/>
      <c r="B316" s="24"/>
    </row>
    <row r="317" spans="1:2" x14ac:dyDescent="0.3">
      <c r="A317" s="17"/>
      <c r="B317" s="24"/>
    </row>
    <row r="318" spans="1:2" x14ac:dyDescent="0.3">
      <c r="A318" s="17"/>
      <c r="B318" s="24"/>
    </row>
    <row r="319" spans="1:2" x14ac:dyDescent="0.3">
      <c r="A319" s="17"/>
      <c r="B319" s="24"/>
    </row>
    <row r="320" spans="1:2" x14ac:dyDescent="0.3">
      <c r="A320" s="17"/>
      <c r="B320" s="24"/>
    </row>
    <row r="321" spans="1:2" x14ac:dyDescent="0.3">
      <c r="A321" s="17"/>
      <c r="B321" s="24"/>
    </row>
    <row r="322" spans="1:2" x14ac:dyDescent="0.3">
      <c r="A322" s="17"/>
      <c r="B322" s="24"/>
    </row>
    <row r="323" spans="1:2" x14ac:dyDescent="0.3">
      <c r="A323" s="17"/>
      <c r="B323" s="24"/>
    </row>
    <row r="324" spans="1:2" x14ac:dyDescent="0.3">
      <c r="A324" s="17"/>
      <c r="B324" s="24"/>
    </row>
    <row r="325" spans="1:2" x14ac:dyDescent="0.3">
      <c r="A325" s="17"/>
      <c r="B325" s="24"/>
    </row>
    <row r="326" spans="1:2" x14ac:dyDescent="0.3">
      <c r="A326" s="17"/>
      <c r="B326" s="24"/>
    </row>
    <row r="327" spans="1:2" x14ac:dyDescent="0.3">
      <c r="A327" s="17"/>
      <c r="B327" s="24"/>
    </row>
    <row r="328" spans="1:2" x14ac:dyDescent="0.3">
      <c r="A328" s="17"/>
      <c r="B328" s="24"/>
    </row>
    <row r="329" spans="1:2" x14ac:dyDescent="0.3">
      <c r="A329" s="17"/>
      <c r="B329" s="24"/>
    </row>
    <row r="330" spans="1:2" x14ac:dyDescent="0.3">
      <c r="A330" s="17"/>
      <c r="B330" s="24"/>
    </row>
    <row r="331" spans="1:2" x14ac:dyDescent="0.3">
      <c r="A331" s="17"/>
      <c r="B331" s="24"/>
    </row>
    <row r="332" spans="1:2" x14ac:dyDescent="0.3">
      <c r="A332" s="17"/>
      <c r="B332" s="24"/>
    </row>
    <row r="333" spans="1:2" x14ac:dyDescent="0.3">
      <c r="A333" s="17"/>
      <c r="B333" s="24"/>
    </row>
    <row r="334" spans="1:2" x14ac:dyDescent="0.3">
      <c r="A334" s="17"/>
      <c r="B334" s="24"/>
    </row>
    <row r="335" spans="1:2" x14ac:dyDescent="0.3">
      <c r="A335" s="17"/>
      <c r="B335" s="24"/>
    </row>
    <row r="336" spans="1:2" x14ac:dyDescent="0.3">
      <c r="A336" s="17"/>
      <c r="B336" s="24"/>
    </row>
    <row r="337" spans="1:2" x14ac:dyDescent="0.3">
      <c r="A337" s="17"/>
      <c r="B337" s="24"/>
    </row>
    <row r="338" spans="1:2" x14ac:dyDescent="0.3">
      <c r="A338" s="17"/>
      <c r="B338" s="24"/>
    </row>
    <row r="339" spans="1:2" x14ac:dyDescent="0.3">
      <c r="A339" s="17"/>
      <c r="B339" s="24"/>
    </row>
    <row r="340" spans="1:2" x14ac:dyDescent="0.3">
      <c r="A340" s="17"/>
      <c r="B340" s="24"/>
    </row>
    <row r="341" spans="1:2" x14ac:dyDescent="0.3">
      <c r="A341" s="17"/>
      <c r="B341" s="24"/>
    </row>
    <row r="342" spans="1:2" x14ac:dyDescent="0.3">
      <c r="A342" s="17"/>
      <c r="B342" s="24"/>
    </row>
    <row r="343" spans="1:2" x14ac:dyDescent="0.3">
      <c r="A343" s="17"/>
      <c r="B343" s="24"/>
    </row>
    <row r="344" spans="1:2" x14ac:dyDescent="0.3">
      <c r="A344" s="17"/>
      <c r="B344" s="24"/>
    </row>
    <row r="345" spans="1:2" x14ac:dyDescent="0.3">
      <c r="A345" s="17"/>
      <c r="B345" s="24"/>
    </row>
    <row r="346" spans="1:2" x14ac:dyDescent="0.3">
      <c r="A346" s="17"/>
      <c r="B346" s="24"/>
    </row>
    <row r="347" spans="1:2" x14ac:dyDescent="0.3">
      <c r="A347" s="17"/>
      <c r="B347" s="24"/>
    </row>
    <row r="348" spans="1:2" x14ac:dyDescent="0.3">
      <c r="A348" s="17"/>
      <c r="B348" s="24"/>
    </row>
    <row r="349" spans="1:2" x14ac:dyDescent="0.3">
      <c r="A349" s="17"/>
      <c r="B349" s="24"/>
    </row>
    <row r="350" spans="1:2" x14ac:dyDescent="0.3">
      <c r="A350" s="17"/>
      <c r="B350" s="24"/>
    </row>
    <row r="351" spans="1:2" x14ac:dyDescent="0.3">
      <c r="A351" s="17"/>
      <c r="B351" s="24"/>
    </row>
    <row r="352" spans="1:2" x14ac:dyDescent="0.3">
      <c r="A352" s="17"/>
      <c r="B352" s="24"/>
    </row>
    <row r="353" spans="1:2" x14ac:dyDescent="0.3">
      <c r="A353" s="17"/>
      <c r="B353" s="24"/>
    </row>
    <row r="354" spans="1:2" x14ac:dyDescent="0.3">
      <c r="A354" s="17"/>
      <c r="B354" s="24"/>
    </row>
    <row r="355" spans="1:2" x14ac:dyDescent="0.3">
      <c r="A355" s="17"/>
      <c r="B355" s="24"/>
    </row>
    <row r="356" spans="1:2" x14ac:dyDescent="0.3">
      <c r="A356" s="17"/>
      <c r="B356" s="24"/>
    </row>
    <row r="357" spans="1:2" x14ac:dyDescent="0.3">
      <c r="A357" s="17"/>
      <c r="B357" s="24"/>
    </row>
    <row r="358" spans="1:2" x14ac:dyDescent="0.3">
      <c r="A358" s="17"/>
      <c r="B358" s="24"/>
    </row>
    <row r="359" spans="1:2" x14ac:dyDescent="0.3">
      <c r="A359" s="17"/>
      <c r="B359" s="24"/>
    </row>
    <row r="360" spans="1:2" x14ac:dyDescent="0.3">
      <c r="A360" s="17"/>
      <c r="B360" s="24"/>
    </row>
    <row r="361" spans="1:2" x14ac:dyDescent="0.3">
      <c r="A361" s="17"/>
      <c r="B361" s="24"/>
    </row>
    <row r="362" spans="1:2" x14ac:dyDescent="0.3">
      <c r="A362" s="17"/>
      <c r="B362" s="24"/>
    </row>
    <row r="363" spans="1:2" x14ac:dyDescent="0.3">
      <c r="A363" s="17"/>
      <c r="B363" s="24"/>
    </row>
    <row r="364" spans="1:2" x14ac:dyDescent="0.3">
      <c r="A364" s="17"/>
      <c r="B364" s="24"/>
    </row>
    <row r="365" spans="1:2" x14ac:dyDescent="0.3">
      <c r="A365" s="17"/>
      <c r="B365" s="24"/>
    </row>
    <row r="366" spans="1:2" x14ac:dyDescent="0.3">
      <c r="A366" s="17"/>
      <c r="B366" s="24"/>
    </row>
    <row r="367" spans="1:2" x14ac:dyDescent="0.3">
      <c r="A367" s="17"/>
      <c r="B367" s="24"/>
    </row>
    <row r="368" spans="1:2" x14ac:dyDescent="0.3">
      <c r="A368" s="17"/>
      <c r="B368" s="24"/>
    </row>
    <row r="369" spans="1:2" x14ac:dyDescent="0.3">
      <c r="A369" s="17"/>
      <c r="B369" s="24"/>
    </row>
    <row r="370" spans="1:2" x14ac:dyDescent="0.3">
      <c r="A370" s="17"/>
      <c r="B370" s="24"/>
    </row>
    <row r="371" spans="1:2" x14ac:dyDescent="0.3">
      <c r="A371" s="17"/>
      <c r="B371" s="24"/>
    </row>
    <row r="372" spans="1:2" x14ac:dyDescent="0.3">
      <c r="A372" s="17"/>
      <c r="B372" s="24"/>
    </row>
    <row r="373" spans="1:2" x14ac:dyDescent="0.3">
      <c r="A373" s="17"/>
      <c r="B373" s="24"/>
    </row>
    <row r="374" spans="1:2" x14ac:dyDescent="0.3">
      <c r="A374" s="17"/>
      <c r="B374" s="24"/>
    </row>
    <row r="375" spans="1:2" x14ac:dyDescent="0.3">
      <c r="A375" s="17"/>
      <c r="B375" s="24"/>
    </row>
    <row r="376" spans="1:2" x14ac:dyDescent="0.3">
      <c r="A376" s="17"/>
      <c r="B376" s="24"/>
    </row>
    <row r="377" spans="1:2" x14ac:dyDescent="0.3">
      <c r="A377" s="17"/>
      <c r="B377" s="24"/>
    </row>
    <row r="378" spans="1:2" x14ac:dyDescent="0.3">
      <c r="A378" s="17"/>
      <c r="B378" s="24"/>
    </row>
    <row r="379" spans="1:2" x14ac:dyDescent="0.3">
      <c r="A379" s="17"/>
      <c r="B379" s="24"/>
    </row>
    <row r="380" spans="1:2" x14ac:dyDescent="0.3">
      <c r="A380" s="17"/>
      <c r="B380" s="24"/>
    </row>
    <row r="381" spans="1:2" x14ac:dyDescent="0.3">
      <c r="A381" s="17"/>
      <c r="B381" s="24"/>
    </row>
    <row r="382" spans="1:2" x14ac:dyDescent="0.3">
      <c r="A382" s="17"/>
      <c r="B382" s="24"/>
    </row>
    <row r="383" spans="1:2" x14ac:dyDescent="0.3">
      <c r="A383" s="17"/>
      <c r="B383" s="24"/>
    </row>
    <row r="384" spans="1:2" x14ac:dyDescent="0.3">
      <c r="A384" s="17"/>
      <c r="B384" s="24"/>
    </row>
    <row r="385" spans="1:2" x14ac:dyDescent="0.3">
      <c r="A385" s="17"/>
      <c r="B385" s="24"/>
    </row>
    <row r="386" spans="1:2" x14ac:dyDescent="0.3">
      <c r="A386" s="17"/>
      <c r="B386" s="24"/>
    </row>
    <row r="387" spans="1:2" x14ac:dyDescent="0.3">
      <c r="A387" s="17"/>
      <c r="B387" s="24"/>
    </row>
    <row r="388" spans="1:2" x14ac:dyDescent="0.3">
      <c r="A388" s="17"/>
      <c r="B388" s="24"/>
    </row>
    <row r="389" spans="1:2" x14ac:dyDescent="0.3">
      <c r="A389" s="17"/>
      <c r="B389" s="24"/>
    </row>
    <row r="390" spans="1:2" x14ac:dyDescent="0.3">
      <c r="A390" s="17"/>
      <c r="B390" s="24"/>
    </row>
    <row r="391" spans="1:2" x14ac:dyDescent="0.3">
      <c r="A391" s="17"/>
      <c r="B391" s="24"/>
    </row>
    <row r="392" spans="1:2" x14ac:dyDescent="0.3">
      <c r="A392" s="17"/>
      <c r="B392" s="24"/>
    </row>
    <row r="393" spans="1:2" x14ac:dyDescent="0.3">
      <c r="A393" s="17"/>
      <c r="B393" s="24"/>
    </row>
    <row r="394" spans="1:2" x14ac:dyDescent="0.3">
      <c r="A394" s="17"/>
      <c r="B394" s="24"/>
    </row>
    <row r="395" spans="1:2" x14ac:dyDescent="0.3">
      <c r="A395" s="17"/>
      <c r="B395" s="24"/>
    </row>
    <row r="396" spans="1:2" x14ac:dyDescent="0.3">
      <c r="A396" s="17"/>
      <c r="B396" s="24"/>
    </row>
    <row r="397" spans="1:2" x14ac:dyDescent="0.3">
      <c r="A397" s="17"/>
      <c r="B397" s="24"/>
    </row>
    <row r="398" spans="1:2" x14ac:dyDescent="0.3">
      <c r="A398" s="17"/>
      <c r="B398" s="24"/>
    </row>
    <row r="399" spans="1:2" x14ac:dyDescent="0.3">
      <c r="A399" s="17"/>
      <c r="B399" s="24"/>
    </row>
    <row r="400" spans="1:2" x14ac:dyDescent="0.3">
      <c r="A400" s="17"/>
      <c r="B400" s="24"/>
    </row>
    <row r="401" spans="1:2" x14ac:dyDescent="0.3">
      <c r="A401" s="17"/>
      <c r="B401" s="24"/>
    </row>
    <row r="402" spans="1:2" x14ac:dyDescent="0.3">
      <c r="A402" s="17"/>
      <c r="B402" s="24"/>
    </row>
    <row r="403" spans="1:2" x14ac:dyDescent="0.3">
      <c r="A403" s="17"/>
      <c r="B403" s="24"/>
    </row>
    <row r="404" spans="1:2" x14ac:dyDescent="0.3">
      <c r="A404" s="17"/>
      <c r="B404" s="24"/>
    </row>
    <row r="405" spans="1:2" x14ac:dyDescent="0.3">
      <c r="A405" s="17"/>
      <c r="B405" s="24"/>
    </row>
    <row r="406" spans="1:2" x14ac:dyDescent="0.3">
      <c r="A406" s="17"/>
      <c r="B406" s="24"/>
    </row>
    <row r="407" spans="1:2" x14ac:dyDescent="0.3">
      <c r="A407" s="17"/>
      <c r="B407" s="24"/>
    </row>
    <row r="408" spans="1:2" x14ac:dyDescent="0.3">
      <c r="A408" s="17"/>
      <c r="B408" s="24"/>
    </row>
    <row r="409" spans="1:2" x14ac:dyDescent="0.3">
      <c r="A409" s="17"/>
      <c r="B409" s="24"/>
    </row>
    <row r="410" spans="1:2" x14ac:dyDescent="0.3">
      <c r="A410" s="17"/>
      <c r="B410" s="24"/>
    </row>
    <row r="411" spans="1:2" x14ac:dyDescent="0.3">
      <c r="A411" s="17"/>
      <c r="B411" s="24"/>
    </row>
    <row r="412" spans="1:2" x14ac:dyDescent="0.3">
      <c r="A412" s="17"/>
      <c r="B412" s="24"/>
    </row>
    <row r="413" spans="1:2" x14ac:dyDescent="0.3">
      <c r="A413" s="17"/>
      <c r="B413" s="24"/>
    </row>
    <row r="414" spans="1:2" x14ac:dyDescent="0.3">
      <c r="A414" s="17"/>
      <c r="B414" s="24"/>
    </row>
    <row r="415" spans="1:2" x14ac:dyDescent="0.3">
      <c r="A415" s="17"/>
      <c r="B415" s="24"/>
    </row>
    <row r="416" spans="1:2" x14ac:dyDescent="0.3">
      <c r="A416" s="17"/>
      <c r="B416" s="24"/>
    </row>
    <row r="417" spans="1:2" x14ac:dyDescent="0.3">
      <c r="A417" s="17"/>
      <c r="B417" s="24"/>
    </row>
    <row r="418" spans="1:2" x14ac:dyDescent="0.3">
      <c r="A418" s="17"/>
      <c r="B418" s="24"/>
    </row>
    <row r="419" spans="1:2" x14ac:dyDescent="0.3">
      <c r="A419" s="17"/>
      <c r="B419" s="24"/>
    </row>
    <row r="420" spans="1:2" x14ac:dyDescent="0.3">
      <c r="A420" s="17"/>
      <c r="B420" s="24"/>
    </row>
    <row r="421" spans="1:2" x14ac:dyDescent="0.3">
      <c r="A421" s="17"/>
      <c r="B421" s="24"/>
    </row>
    <row r="422" spans="1:2" x14ac:dyDescent="0.3">
      <c r="A422" s="17"/>
      <c r="B422" s="24"/>
    </row>
    <row r="423" spans="1:2" x14ac:dyDescent="0.3">
      <c r="A423" s="17"/>
      <c r="B423" s="24"/>
    </row>
    <row r="424" spans="1:2" x14ac:dyDescent="0.3">
      <c r="A424" s="17"/>
      <c r="B424" s="24"/>
    </row>
    <row r="425" spans="1:2" x14ac:dyDescent="0.3">
      <c r="A425" s="17"/>
    </row>
    <row r="426" spans="1:2" x14ac:dyDescent="0.3">
      <c r="A426" s="17"/>
    </row>
    <row r="427" spans="1:2" x14ac:dyDescent="0.3">
      <c r="A427" s="17"/>
    </row>
    <row r="428" spans="1:2" x14ac:dyDescent="0.3">
      <c r="A428" s="17"/>
    </row>
    <row r="429" spans="1:2" x14ac:dyDescent="0.3">
      <c r="A429" s="17"/>
    </row>
    <row r="430" spans="1:2" x14ac:dyDescent="0.3">
      <c r="A430" s="17"/>
    </row>
    <row r="431" spans="1:2" x14ac:dyDescent="0.3">
      <c r="A431" s="17"/>
    </row>
    <row r="432" spans="1:2" x14ac:dyDescent="0.3">
      <c r="A432" s="17"/>
    </row>
    <row r="433" spans="1:1" x14ac:dyDescent="0.3">
      <c r="A433" s="17"/>
    </row>
    <row r="434" spans="1:1" x14ac:dyDescent="0.3">
      <c r="A434" s="17"/>
    </row>
    <row r="435" spans="1:1" x14ac:dyDescent="0.3">
      <c r="A435" s="17"/>
    </row>
    <row r="436" spans="1:1" x14ac:dyDescent="0.3">
      <c r="A436" s="17"/>
    </row>
    <row r="437" spans="1:1" x14ac:dyDescent="0.3">
      <c r="A437" s="17"/>
    </row>
    <row r="438" spans="1:1" x14ac:dyDescent="0.3">
      <c r="A438" s="17"/>
    </row>
    <row r="439" spans="1:1" x14ac:dyDescent="0.3">
      <c r="A439" s="17"/>
    </row>
    <row r="440" spans="1:1" x14ac:dyDescent="0.3">
      <c r="A440" s="17"/>
    </row>
    <row r="441" spans="1:1" x14ac:dyDescent="0.3">
      <c r="A441" s="17"/>
    </row>
    <row r="442" spans="1:1" x14ac:dyDescent="0.3">
      <c r="A442" s="17"/>
    </row>
    <row r="443" spans="1:1" x14ac:dyDescent="0.3">
      <c r="A443" s="17"/>
    </row>
    <row r="444" spans="1:1" x14ac:dyDescent="0.3">
      <c r="A444" s="17"/>
    </row>
    <row r="445" spans="1:1" x14ac:dyDescent="0.3">
      <c r="A445" s="17"/>
    </row>
    <row r="446" spans="1:1" x14ac:dyDescent="0.3">
      <c r="A446" s="17"/>
    </row>
    <row r="447" spans="1:1" x14ac:dyDescent="0.3">
      <c r="A447" s="17"/>
    </row>
    <row r="448" spans="1:1" x14ac:dyDescent="0.3">
      <c r="A448" s="17"/>
    </row>
    <row r="449" spans="1:1" x14ac:dyDescent="0.3">
      <c r="A449" s="17"/>
    </row>
    <row r="450" spans="1:1" x14ac:dyDescent="0.3">
      <c r="A450" s="17"/>
    </row>
    <row r="451" spans="1:1" x14ac:dyDescent="0.3">
      <c r="A451" s="17"/>
    </row>
    <row r="452" spans="1:1" x14ac:dyDescent="0.3">
      <c r="A452" s="17"/>
    </row>
    <row r="453" spans="1:1" x14ac:dyDescent="0.3">
      <c r="A453" s="17"/>
    </row>
    <row r="454" spans="1:1" x14ac:dyDescent="0.3">
      <c r="A454" s="17"/>
    </row>
    <row r="455" spans="1:1" x14ac:dyDescent="0.3">
      <c r="A455" s="17"/>
    </row>
    <row r="456" spans="1:1" x14ac:dyDescent="0.3">
      <c r="A456" s="17"/>
    </row>
    <row r="457" spans="1:1" x14ac:dyDescent="0.3">
      <c r="A457" s="17"/>
    </row>
    <row r="458" spans="1:1" x14ac:dyDescent="0.3">
      <c r="A458" s="17"/>
    </row>
    <row r="459" spans="1:1" x14ac:dyDescent="0.3">
      <c r="A459" s="17"/>
    </row>
    <row r="460" spans="1:1" x14ac:dyDescent="0.3">
      <c r="A460" s="17"/>
    </row>
    <row r="461" spans="1:1" x14ac:dyDescent="0.3">
      <c r="A461" s="17"/>
    </row>
    <row r="462" spans="1:1" x14ac:dyDescent="0.3">
      <c r="A462" s="17"/>
    </row>
    <row r="463" spans="1:1" x14ac:dyDescent="0.3">
      <c r="A463" s="17"/>
    </row>
    <row r="464" spans="1:1" x14ac:dyDescent="0.3">
      <c r="A464" s="17"/>
    </row>
    <row r="465" spans="1:1" x14ac:dyDescent="0.3">
      <c r="A465" s="17"/>
    </row>
    <row r="466" spans="1:1" x14ac:dyDescent="0.3">
      <c r="A466" s="17"/>
    </row>
    <row r="467" spans="1:1" x14ac:dyDescent="0.3">
      <c r="A467" s="17"/>
    </row>
    <row r="468" spans="1:1" x14ac:dyDescent="0.3">
      <c r="A468" s="17"/>
    </row>
    <row r="469" spans="1:1" x14ac:dyDescent="0.3">
      <c r="A469" s="17"/>
    </row>
    <row r="470" spans="1:1" x14ac:dyDescent="0.3">
      <c r="A470" s="17"/>
    </row>
    <row r="471" spans="1:1" x14ac:dyDescent="0.3">
      <c r="A471" s="17"/>
    </row>
    <row r="472" spans="1:1" x14ac:dyDescent="0.3">
      <c r="A472" s="17"/>
    </row>
    <row r="473" spans="1:1" x14ac:dyDescent="0.3">
      <c r="A473" s="17"/>
    </row>
    <row r="474" spans="1:1" x14ac:dyDescent="0.3">
      <c r="A474" s="17"/>
    </row>
    <row r="475" spans="1:1" x14ac:dyDescent="0.3">
      <c r="A475" s="17"/>
    </row>
    <row r="476" spans="1:1" x14ac:dyDescent="0.3">
      <c r="A476" s="17"/>
    </row>
    <row r="477" spans="1:1" x14ac:dyDescent="0.3">
      <c r="A477" s="17"/>
    </row>
    <row r="478" spans="1:1" x14ac:dyDescent="0.3">
      <c r="A478" s="17"/>
    </row>
    <row r="479" spans="1:1" x14ac:dyDescent="0.3">
      <c r="A479" s="17"/>
    </row>
    <row r="480" spans="1:1" x14ac:dyDescent="0.3">
      <c r="A480" s="17"/>
    </row>
    <row r="481" spans="1:1" x14ac:dyDescent="0.3">
      <c r="A481" s="17"/>
    </row>
    <row r="482" spans="1:1" x14ac:dyDescent="0.3">
      <c r="A482" s="17"/>
    </row>
    <row r="483" spans="1:1" x14ac:dyDescent="0.3">
      <c r="A483" s="17"/>
    </row>
    <row r="484" spans="1:1" x14ac:dyDescent="0.3">
      <c r="A484" s="17"/>
    </row>
    <row r="485" spans="1:1" x14ac:dyDescent="0.3">
      <c r="A485" s="17"/>
    </row>
    <row r="486" spans="1:1" x14ac:dyDescent="0.3">
      <c r="A486" s="17"/>
    </row>
    <row r="487" spans="1:1" x14ac:dyDescent="0.3">
      <c r="A487" s="17"/>
    </row>
    <row r="488" spans="1:1" x14ac:dyDescent="0.3">
      <c r="A488" s="17"/>
    </row>
    <row r="489" spans="1:1" x14ac:dyDescent="0.3">
      <c r="A489" s="17"/>
    </row>
    <row r="490" spans="1:1" x14ac:dyDescent="0.3">
      <c r="A490" s="17"/>
    </row>
    <row r="491" spans="1:1" x14ac:dyDescent="0.3">
      <c r="A491" s="17"/>
    </row>
    <row r="492" spans="1:1" x14ac:dyDescent="0.3">
      <c r="A492" s="17"/>
    </row>
    <row r="493" spans="1:1" x14ac:dyDescent="0.3">
      <c r="A493" s="17"/>
    </row>
    <row r="494" spans="1:1" x14ac:dyDescent="0.3">
      <c r="A494" s="17"/>
    </row>
    <row r="495" spans="1:1" x14ac:dyDescent="0.3">
      <c r="A495" s="17"/>
    </row>
    <row r="496" spans="1:1" x14ac:dyDescent="0.3">
      <c r="A496" s="17"/>
    </row>
    <row r="497" spans="1:1" x14ac:dyDescent="0.3">
      <c r="A497" s="17"/>
    </row>
    <row r="498" spans="1:1" x14ac:dyDescent="0.3">
      <c r="A498" s="17"/>
    </row>
    <row r="499" spans="1:1" x14ac:dyDescent="0.3">
      <c r="A499" s="17"/>
    </row>
    <row r="500" spans="1:1" x14ac:dyDescent="0.3">
      <c r="A500" s="17"/>
    </row>
    <row r="501" spans="1:1" x14ac:dyDescent="0.3">
      <c r="A501" s="17"/>
    </row>
    <row r="502" spans="1:1" x14ac:dyDescent="0.3">
      <c r="A502" s="17"/>
    </row>
    <row r="503" spans="1:1" x14ac:dyDescent="0.3">
      <c r="A503" s="17"/>
    </row>
    <row r="504" spans="1:1" x14ac:dyDescent="0.3">
      <c r="A504" s="17"/>
    </row>
    <row r="505" spans="1:1" x14ac:dyDescent="0.3">
      <c r="A505" s="17"/>
    </row>
    <row r="506" spans="1:1" x14ac:dyDescent="0.3">
      <c r="A506" s="17"/>
    </row>
    <row r="507" spans="1:1" x14ac:dyDescent="0.3">
      <c r="A507" s="17"/>
    </row>
    <row r="508" spans="1:1" x14ac:dyDescent="0.3">
      <c r="A508" s="17"/>
    </row>
    <row r="509" spans="1:1" x14ac:dyDescent="0.3">
      <c r="A509" s="17"/>
    </row>
    <row r="510" spans="1:1" x14ac:dyDescent="0.3">
      <c r="A510" s="17"/>
    </row>
    <row r="511" spans="1:1" x14ac:dyDescent="0.3">
      <c r="A511" s="17"/>
    </row>
    <row r="512" spans="1:1" x14ac:dyDescent="0.3">
      <c r="A512" s="17"/>
    </row>
    <row r="513" spans="1:1" x14ac:dyDescent="0.3">
      <c r="A513" s="17"/>
    </row>
    <row r="514" spans="1:1" x14ac:dyDescent="0.3">
      <c r="A514" s="17"/>
    </row>
    <row r="515" spans="1:1" x14ac:dyDescent="0.3">
      <c r="A515" s="17"/>
    </row>
    <row r="516" spans="1:1" x14ac:dyDescent="0.3">
      <c r="A516" s="17"/>
    </row>
    <row r="517" spans="1:1" x14ac:dyDescent="0.3">
      <c r="A517" s="17"/>
    </row>
    <row r="518" spans="1:1" x14ac:dyDescent="0.3">
      <c r="A518" s="17"/>
    </row>
    <row r="519" spans="1:1" x14ac:dyDescent="0.3">
      <c r="A519" s="17"/>
    </row>
    <row r="520" spans="1:1" x14ac:dyDescent="0.3">
      <c r="A520" s="17"/>
    </row>
    <row r="521" spans="1:1" x14ac:dyDescent="0.3">
      <c r="A521" s="17"/>
    </row>
    <row r="522" spans="1:1" x14ac:dyDescent="0.3">
      <c r="A522" s="17"/>
    </row>
    <row r="523" spans="1:1" x14ac:dyDescent="0.3">
      <c r="A523" s="17"/>
    </row>
    <row r="524" spans="1:1" x14ac:dyDescent="0.3">
      <c r="A524" s="17"/>
    </row>
    <row r="525" spans="1:1" x14ac:dyDescent="0.3">
      <c r="A525" s="17"/>
    </row>
    <row r="526" spans="1:1" x14ac:dyDescent="0.3">
      <c r="A526" s="17"/>
    </row>
    <row r="527" spans="1:1" x14ac:dyDescent="0.3">
      <c r="A527" s="17"/>
    </row>
    <row r="528" spans="1:1" x14ac:dyDescent="0.3">
      <c r="A528" s="17"/>
    </row>
    <row r="529" spans="1:1" x14ac:dyDescent="0.3">
      <c r="A529" s="17"/>
    </row>
    <row r="530" spans="1:1" x14ac:dyDescent="0.3">
      <c r="A530" s="17"/>
    </row>
    <row r="531" spans="1:1" x14ac:dyDescent="0.3">
      <c r="A531" s="17"/>
    </row>
    <row r="532" spans="1:1" x14ac:dyDescent="0.3">
      <c r="A532" s="17"/>
    </row>
    <row r="533" spans="1:1" x14ac:dyDescent="0.3">
      <c r="A533" s="17"/>
    </row>
    <row r="534" spans="1:1" x14ac:dyDescent="0.3">
      <c r="A534" s="17"/>
    </row>
    <row r="535" spans="1:1" x14ac:dyDescent="0.3">
      <c r="A535" s="17"/>
    </row>
    <row r="536" spans="1:1" x14ac:dyDescent="0.3">
      <c r="A536" s="17"/>
    </row>
    <row r="537" spans="1:1" x14ac:dyDescent="0.3">
      <c r="A537" s="17"/>
    </row>
    <row r="538" spans="1:1" x14ac:dyDescent="0.3">
      <c r="A538" s="17"/>
    </row>
    <row r="539" spans="1:1" x14ac:dyDescent="0.3">
      <c r="A539" s="17"/>
    </row>
    <row r="540" spans="1:1" x14ac:dyDescent="0.3">
      <c r="A540" s="17"/>
    </row>
    <row r="541" spans="1:1" x14ac:dyDescent="0.3">
      <c r="A541" s="17"/>
    </row>
    <row r="542" spans="1:1" x14ac:dyDescent="0.3">
      <c r="A542" s="17"/>
    </row>
    <row r="543" spans="1:1" x14ac:dyDescent="0.3">
      <c r="A543" s="17"/>
    </row>
    <row r="544" spans="1:1" x14ac:dyDescent="0.3">
      <c r="A544" s="17"/>
    </row>
    <row r="545" spans="1:1" x14ac:dyDescent="0.3">
      <c r="A545" s="17"/>
    </row>
    <row r="546" spans="1:1" x14ac:dyDescent="0.3">
      <c r="A546" s="17"/>
    </row>
    <row r="547" spans="1:1" x14ac:dyDescent="0.3">
      <c r="A547" s="17"/>
    </row>
    <row r="548" spans="1:1" x14ac:dyDescent="0.3">
      <c r="A548" s="17"/>
    </row>
    <row r="549" spans="1:1" x14ac:dyDescent="0.3">
      <c r="A549" s="17"/>
    </row>
    <row r="550" spans="1:1" x14ac:dyDescent="0.3">
      <c r="A550" s="17"/>
    </row>
    <row r="551" spans="1:1" x14ac:dyDescent="0.3">
      <c r="A551" s="17"/>
    </row>
    <row r="552" spans="1:1" x14ac:dyDescent="0.3">
      <c r="A552" s="17"/>
    </row>
    <row r="553" spans="1:1" x14ac:dyDescent="0.3">
      <c r="A553" s="17"/>
    </row>
    <row r="554" spans="1:1" x14ac:dyDescent="0.3">
      <c r="A554" s="17"/>
    </row>
    <row r="555" spans="1:1" x14ac:dyDescent="0.3">
      <c r="A555" s="17"/>
    </row>
    <row r="556" spans="1:1" x14ac:dyDescent="0.3">
      <c r="A556" s="17"/>
    </row>
    <row r="557" spans="1:1" x14ac:dyDescent="0.3">
      <c r="A557" s="17"/>
    </row>
    <row r="558" spans="1:1" x14ac:dyDescent="0.3">
      <c r="A558" s="17"/>
    </row>
    <row r="559" spans="1:1" x14ac:dyDescent="0.3">
      <c r="A559" s="17"/>
    </row>
    <row r="560" spans="1:1" x14ac:dyDescent="0.3">
      <c r="A560" s="17"/>
    </row>
    <row r="561" spans="1:1" x14ac:dyDescent="0.3">
      <c r="A561" s="17"/>
    </row>
    <row r="562" spans="1:1" x14ac:dyDescent="0.3">
      <c r="A562" s="17"/>
    </row>
    <row r="563" spans="1:1" x14ac:dyDescent="0.3">
      <c r="A563" s="17"/>
    </row>
    <row r="564" spans="1:1" x14ac:dyDescent="0.3">
      <c r="A564" s="17"/>
    </row>
    <row r="565" spans="1:1" x14ac:dyDescent="0.3">
      <c r="A565" s="17"/>
    </row>
    <row r="566" spans="1:1" x14ac:dyDescent="0.3">
      <c r="A566" s="17"/>
    </row>
    <row r="567" spans="1:1" x14ac:dyDescent="0.3">
      <c r="A567" s="17"/>
    </row>
    <row r="568" spans="1:1" x14ac:dyDescent="0.3">
      <c r="A568" s="17"/>
    </row>
    <row r="569" spans="1:1" x14ac:dyDescent="0.3">
      <c r="A569" s="17"/>
    </row>
    <row r="570" spans="1:1" x14ac:dyDescent="0.3">
      <c r="A570" s="17"/>
    </row>
    <row r="571" spans="1:1" x14ac:dyDescent="0.3">
      <c r="A571" s="17"/>
    </row>
    <row r="572" spans="1:1" x14ac:dyDescent="0.3">
      <c r="A572" s="17"/>
    </row>
    <row r="573" spans="1:1" x14ac:dyDescent="0.3">
      <c r="A573" s="17"/>
    </row>
    <row r="574" spans="1:1" x14ac:dyDescent="0.3">
      <c r="A574" s="17"/>
    </row>
    <row r="575" spans="1:1" x14ac:dyDescent="0.3">
      <c r="A575" s="17"/>
    </row>
    <row r="576" spans="1:1" x14ac:dyDescent="0.3">
      <c r="A576" s="17"/>
    </row>
    <row r="577" spans="1:1" x14ac:dyDescent="0.3">
      <c r="A577" s="17"/>
    </row>
    <row r="578" spans="1:1" x14ac:dyDescent="0.3">
      <c r="A578" s="17"/>
    </row>
    <row r="579" spans="1:1" x14ac:dyDescent="0.3">
      <c r="A579" s="17"/>
    </row>
    <row r="580" spans="1:1" x14ac:dyDescent="0.3">
      <c r="A580" s="17"/>
    </row>
    <row r="581" spans="1:1" x14ac:dyDescent="0.3">
      <c r="A581" s="17"/>
    </row>
    <row r="582" spans="1:1" x14ac:dyDescent="0.3">
      <c r="A582" s="17"/>
    </row>
    <row r="583" spans="1:1" x14ac:dyDescent="0.3">
      <c r="A583" s="17"/>
    </row>
    <row r="584" spans="1:1" x14ac:dyDescent="0.3">
      <c r="A584" s="17"/>
    </row>
    <row r="585" spans="1:1" x14ac:dyDescent="0.3">
      <c r="A585" s="17"/>
    </row>
    <row r="586" spans="1:1" x14ac:dyDescent="0.3">
      <c r="A586" s="17"/>
    </row>
    <row r="587" spans="1:1" x14ac:dyDescent="0.3">
      <c r="A587" s="17"/>
    </row>
    <row r="588" spans="1:1" x14ac:dyDescent="0.3">
      <c r="A588" s="17"/>
    </row>
    <row r="589" spans="1:1" x14ac:dyDescent="0.3">
      <c r="A589" s="17"/>
    </row>
    <row r="590" spans="1:1" x14ac:dyDescent="0.3">
      <c r="A590" s="17"/>
    </row>
    <row r="591" spans="1:1" x14ac:dyDescent="0.3">
      <c r="A591" s="17"/>
    </row>
    <row r="592" spans="1:1" x14ac:dyDescent="0.3">
      <c r="A592" s="17"/>
    </row>
    <row r="593" spans="1:1" x14ac:dyDescent="0.3">
      <c r="A593" s="17"/>
    </row>
    <row r="594" spans="1:1" x14ac:dyDescent="0.3">
      <c r="A594" s="17"/>
    </row>
    <row r="595" spans="1:1" x14ac:dyDescent="0.3">
      <c r="A595" s="17"/>
    </row>
    <row r="596" spans="1:1" x14ac:dyDescent="0.3">
      <c r="A596" s="17"/>
    </row>
    <row r="597" spans="1:1" x14ac:dyDescent="0.3">
      <c r="A597" s="17"/>
    </row>
    <row r="598" spans="1:1" x14ac:dyDescent="0.3">
      <c r="A598" s="17"/>
    </row>
    <row r="599" spans="1:1" x14ac:dyDescent="0.3">
      <c r="A599" s="17"/>
    </row>
    <row r="600" spans="1:1" x14ac:dyDescent="0.3">
      <c r="A600" s="17"/>
    </row>
    <row r="601" spans="1:1" x14ac:dyDescent="0.3">
      <c r="A601" s="17"/>
    </row>
    <row r="602" spans="1:1" x14ac:dyDescent="0.3">
      <c r="A602" s="17"/>
    </row>
    <row r="603" spans="1:1" x14ac:dyDescent="0.3">
      <c r="A603" s="17"/>
    </row>
    <row r="604" spans="1:1" x14ac:dyDescent="0.3">
      <c r="A604" s="17"/>
    </row>
    <row r="605" spans="1:1" x14ac:dyDescent="0.3">
      <c r="A605" s="17"/>
    </row>
    <row r="606" spans="1:1" x14ac:dyDescent="0.3">
      <c r="A606" s="17"/>
    </row>
    <row r="607" spans="1:1" x14ac:dyDescent="0.3">
      <c r="A607" s="17"/>
    </row>
    <row r="608" spans="1:1" x14ac:dyDescent="0.3">
      <c r="A608" s="17"/>
    </row>
    <row r="609" spans="1:1" x14ac:dyDescent="0.3">
      <c r="A609" s="17"/>
    </row>
    <row r="610" spans="1:1" x14ac:dyDescent="0.3">
      <c r="A610" s="17"/>
    </row>
    <row r="611" spans="1:1" x14ac:dyDescent="0.3">
      <c r="A611" s="17"/>
    </row>
    <row r="612" spans="1:1" x14ac:dyDescent="0.3">
      <c r="A612" s="17"/>
    </row>
    <row r="613" spans="1:1" x14ac:dyDescent="0.3">
      <c r="A613" s="17"/>
    </row>
    <row r="614" spans="1:1" x14ac:dyDescent="0.3">
      <c r="A614" s="17"/>
    </row>
    <row r="615" spans="1:1" x14ac:dyDescent="0.3">
      <c r="A615" s="17"/>
    </row>
    <row r="616" spans="1:1" x14ac:dyDescent="0.3">
      <c r="A616" s="17"/>
    </row>
    <row r="617" spans="1:1" x14ac:dyDescent="0.3">
      <c r="A617" s="17"/>
    </row>
    <row r="618" spans="1:1" x14ac:dyDescent="0.3">
      <c r="A618" s="17"/>
    </row>
    <row r="619" spans="1:1" x14ac:dyDescent="0.3">
      <c r="A619" s="17"/>
    </row>
    <row r="620" spans="1:1" x14ac:dyDescent="0.3">
      <c r="A620" s="17"/>
    </row>
    <row r="621" spans="1:1" x14ac:dyDescent="0.3">
      <c r="A621" s="17"/>
    </row>
    <row r="622" spans="1:1" x14ac:dyDescent="0.3">
      <c r="A622" s="17"/>
    </row>
    <row r="623" spans="1:1" x14ac:dyDescent="0.3">
      <c r="A623" s="17"/>
    </row>
    <row r="624" spans="1:1" x14ac:dyDescent="0.3">
      <c r="A624" s="17"/>
    </row>
    <row r="625" spans="1:1" x14ac:dyDescent="0.3">
      <c r="A625" s="17"/>
    </row>
    <row r="626" spans="1:1" x14ac:dyDescent="0.3">
      <c r="A626" s="17"/>
    </row>
    <row r="627" spans="1:1" x14ac:dyDescent="0.3">
      <c r="A627" s="17"/>
    </row>
    <row r="628" spans="1:1" x14ac:dyDescent="0.3">
      <c r="A628" s="17"/>
    </row>
    <row r="629" spans="1:1" x14ac:dyDescent="0.3">
      <c r="A629" s="17"/>
    </row>
    <row r="630" spans="1:1" x14ac:dyDescent="0.3">
      <c r="A630" s="17"/>
    </row>
    <row r="631" spans="1:1" x14ac:dyDescent="0.3">
      <c r="A631" s="17"/>
    </row>
    <row r="632" spans="1:1" x14ac:dyDescent="0.3">
      <c r="A632" s="17"/>
    </row>
    <row r="633" spans="1:1" x14ac:dyDescent="0.3">
      <c r="A633" s="17"/>
    </row>
    <row r="634" spans="1:1" x14ac:dyDescent="0.3">
      <c r="A634" s="17"/>
    </row>
    <row r="635" spans="1:1" x14ac:dyDescent="0.3">
      <c r="A635" s="17"/>
    </row>
    <row r="636" spans="1:1" x14ac:dyDescent="0.3">
      <c r="A636" s="17"/>
    </row>
    <row r="637" spans="1:1" x14ac:dyDescent="0.3">
      <c r="A637" s="17"/>
    </row>
    <row r="638" spans="1:1" x14ac:dyDescent="0.3">
      <c r="A638" s="17"/>
    </row>
    <row r="639" spans="1:1" x14ac:dyDescent="0.3">
      <c r="A639" s="17"/>
    </row>
    <row r="640" spans="1:1" x14ac:dyDescent="0.3">
      <c r="A640" s="17"/>
    </row>
    <row r="641" spans="1:1" x14ac:dyDescent="0.3">
      <c r="A641" s="17"/>
    </row>
    <row r="642" spans="1:1" x14ac:dyDescent="0.3">
      <c r="A642" s="17"/>
    </row>
    <row r="643" spans="1:1" x14ac:dyDescent="0.3">
      <c r="A643" s="17"/>
    </row>
    <row r="644" spans="1:1" x14ac:dyDescent="0.3">
      <c r="A644" s="17"/>
    </row>
    <row r="645" spans="1:1" x14ac:dyDescent="0.3">
      <c r="A645" s="17"/>
    </row>
    <row r="646" spans="1:1" x14ac:dyDescent="0.3">
      <c r="A646" s="17"/>
    </row>
    <row r="647" spans="1:1" x14ac:dyDescent="0.3">
      <c r="A647" s="17"/>
    </row>
    <row r="648" spans="1:1" x14ac:dyDescent="0.3">
      <c r="A648" s="17"/>
    </row>
    <row r="649" spans="1:1" x14ac:dyDescent="0.3">
      <c r="A649" s="17"/>
    </row>
    <row r="650" spans="1:1" x14ac:dyDescent="0.3">
      <c r="A650" s="17"/>
    </row>
    <row r="651" spans="1:1" x14ac:dyDescent="0.3">
      <c r="A651" s="17"/>
    </row>
    <row r="652" spans="1:1" x14ac:dyDescent="0.3">
      <c r="A652" s="17"/>
    </row>
    <row r="653" spans="1:1" x14ac:dyDescent="0.3">
      <c r="A653" s="17"/>
    </row>
    <row r="654" spans="1:1" x14ac:dyDescent="0.3">
      <c r="A654" s="17"/>
    </row>
    <row r="655" spans="1:1" x14ac:dyDescent="0.3">
      <c r="A655" s="17"/>
    </row>
    <row r="656" spans="1:1" x14ac:dyDescent="0.3">
      <c r="A656" s="17"/>
    </row>
    <row r="657" spans="1:1" x14ac:dyDescent="0.3">
      <c r="A657" s="17"/>
    </row>
    <row r="658" spans="1:1" x14ac:dyDescent="0.3">
      <c r="A658" s="17"/>
    </row>
    <row r="659" spans="1:1" x14ac:dyDescent="0.3">
      <c r="A659" s="17"/>
    </row>
    <row r="660" spans="1:1" x14ac:dyDescent="0.3">
      <c r="A660" s="17"/>
    </row>
    <row r="661" spans="1:1" x14ac:dyDescent="0.3">
      <c r="A661" s="17"/>
    </row>
    <row r="662" spans="1:1" x14ac:dyDescent="0.3">
      <c r="A662" s="17"/>
    </row>
    <row r="663" spans="1:1" x14ac:dyDescent="0.3">
      <c r="A663" s="17"/>
    </row>
    <row r="664" spans="1:1" x14ac:dyDescent="0.3">
      <c r="A664" s="17"/>
    </row>
    <row r="665" spans="1:1" x14ac:dyDescent="0.3">
      <c r="A665" s="17"/>
    </row>
    <row r="666" spans="1:1" x14ac:dyDescent="0.3">
      <c r="A666" s="17"/>
    </row>
    <row r="667" spans="1:1" x14ac:dyDescent="0.3">
      <c r="A667" s="17"/>
    </row>
    <row r="668" spans="1:1" x14ac:dyDescent="0.3">
      <c r="A668" s="17"/>
    </row>
    <row r="669" spans="1:1" x14ac:dyDescent="0.3">
      <c r="A669" s="17"/>
    </row>
    <row r="670" spans="1:1" x14ac:dyDescent="0.3">
      <c r="A670" s="17"/>
    </row>
    <row r="671" spans="1:1" x14ac:dyDescent="0.3">
      <c r="A671" s="17"/>
    </row>
    <row r="672" spans="1:1" x14ac:dyDescent="0.3">
      <c r="A672" s="17"/>
    </row>
    <row r="673" spans="1:1" x14ac:dyDescent="0.3">
      <c r="A673" s="17"/>
    </row>
    <row r="674" spans="1:1" x14ac:dyDescent="0.3">
      <c r="A674" s="17"/>
    </row>
    <row r="675" spans="1:1" x14ac:dyDescent="0.3">
      <c r="A675" s="17"/>
    </row>
    <row r="676" spans="1:1" x14ac:dyDescent="0.3">
      <c r="A676" s="17"/>
    </row>
    <row r="677" spans="1:1" x14ac:dyDescent="0.3">
      <c r="A677" s="17"/>
    </row>
    <row r="678" spans="1:1" x14ac:dyDescent="0.3">
      <c r="A678" s="17"/>
    </row>
    <row r="679" spans="1:1" x14ac:dyDescent="0.3">
      <c r="A679" s="17"/>
    </row>
    <row r="680" spans="1:1" x14ac:dyDescent="0.3">
      <c r="A680" s="17"/>
    </row>
    <row r="681" spans="1:1" x14ac:dyDescent="0.3">
      <c r="A681" s="17"/>
    </row>
    <row r="682" spans="1:1" x14ac:dyDescent="0.3">
      <c r="A682" s="17"/>
    </row>
    <row r="683" spans="1:1" x14ac:dyDescent="0.3">
      <c r="A683" s="17"/>
    </row>
    <row r="684" spans="1:1" x14ac:dyDescent="0.3">
      <c r="A684" s="17"/>
    </row>
    <row r="685" spans="1:1" x14ac:dyDescent="0.3">
      <c r="A685" s="17"/>
    </row>
    <row r="686" spans="1:1" x14ac:dyDescent="0.3">
      <c r="A686" s="17"/>
    </row>
    <row r="687" spans="1:1" x14ac:dyDescent="0.3">
      <c r="A687" s="17"/>
    </row>
    <row r="688" spans="1:1" x14ac:dyDescent="0.3">
      <c r="A688" s="17"/>
    </row>
    <row r="689" spans="1:1" x14ac:dyDescent="0.3">
      <c r="A689" s="17"/>
    </row>
    <row r="690" spans="1:1" x14ac:dyDescent="0.3">
      <c r="A690" s="17"/>
    </row>
    <row r="691" spans="1:1" x14ac:dyDescent="0.3">
      <c r="A691" s="17"/>
    </row>
    <row r="692" spans="1:1" x14ac:dyDescent="0.3">
      <c r="A692" s="17"/>
    </row>
    <row r="693" spans="1:1" x14ac:dyDescent="0.3">
      <c r="A693" s="17"/>
    </row>
    <row r="694" spans="1:1" x14ac:dyDescent="0.3">
      <c r="A694" s="17"/>
    </row>
    <row r="695" spans="1:1" x14ac:dyDescent="0.3">
      <c r="A695" s="17"/>
    </row>
    <row r="696" spans="1:1" x14ac:dyDescent="0.3">
      <c r="A696" s="17"/>
    </row>
    <row r="697" spans="1:1" x14ac:dyDescent="0.3">
      <c r="A697" s="17"/>
    </row>
    <row r="698" spans="1:1" x14ac:dyDescent="0.3">
      <c r="A698" s="17"/>
    </row>
    <row r="699" spans="1:1" x14ac:dyDescent="0.3">
      <c r="A699" s="17"/>
    </row>
    <row r="700" spans="1:1" x14ac:dyDescent="0.3">
      <c r="A700" s="17"/>
    </row>
    <row r="701" spans="1:1" x14ac:dyDescent="0.3">
      <c r="A701" s="17"/>
    </row>
    <row r="702" spans="1:1" x14ac:dyDescent="0.3">
      <c r="A702" s="17"/>
    </row>
    <row r="703" spans="1:1" x14ac:dyDescent="0.3">
      <c r="A703" s="17"/>
    </row>
    <row r="704" spans="1:1" x14ac:dyDescent="0.3">
      <c r="A704" s="17"/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386AF-F9C4-4EBA-A394-5F1F95F02742}">
  <sheetPr codeName="Blad10"/>
  <dimension ref="A1:M167"/>
  <sheetViews>
    <sheetView workbookViewId="0">
      <selection activeCell="C1" sqref="C1"/>
    </sheetView>
  </sheetViews>
  <sheetFormatPr defaultColWidth="9.109375" defaultRowHeight="14.4" x14ac:dyDescent="0.3"/>
  <cols>
    <col min="1" max="1" width="6" style="64" bestFit="1" customWidth="1"/>
    <col min="2" max="2" width="36.44140625" style="64" customWidth="1"/>
    <col min="3" max="3" width="33.33203125" style="64" customWidth="1"/>
    <col min="4" max="8" width="14.44140625" style="64" bestFit="1" customWidth="1"/>
    <col min="10" max="11" width="14.44140625" style="64" bestFit="1" customWidth="1"/>
    <col min="12" max="13" width="15.44140625" style="64" bestFit="1" customWidth="1"/>
    <col min="14" max="16384" width="9.109375" style="64"/>
  </cols>
  <sheetData>
    <row r="1" spans="1:13" s="62" customFormat="1" ht="15" thickBot="1" x14ac:dyDescent="0.35">
      <c r="A1" s="60"/>
      <c r="B1" s="67" t="str" cm="1">
        <f t="array" aca="1" ref="B1" ca="1">IF(INDIRECT("'Measurement Details'!B" &amp; COLUMN() )="", "", INDIRECT("'Measurement Details'!B" &amp; COLUMN() ))</f>
        <v>vib_table</v>
      </c>
      <c r="C1" s="67" t="str" cm="1">
        <f t="array" aca="1" ref="C1" ca="1">IF(INDIRECT("'Measurement Details'!B" &amp; COLUMN() )="", "", INDIRECT("'Measurement Details'!B" &amp; COLUMN() ))</f>
        <v>vib_spindle</v>
      </c>
      <c r="D1" s="67" t="str" cm="1">
        <f t="array" aca="1" ref="D1" ca="1">IF(INDIRECT("'Measurement Details'!B" &amp; COLUMN() )="", "", INDIRECT("'Measurement Details'!B" &amp; COLUMN() ))</f>
        <v>smcAC</v>
      </c>
      <c r="E1" s="67" t="str" cm="1">
        <f t="array" aca="1" ref="E1" ca="1">IF(INDIRECT("'Measurement Details'!B" &amp; COLUMN() )="", "", INDIRECT("'Measurement Details'!B" &amp; COLUMN() ))</f>
        <v>smcDC</v>
      </c>
      <c r="F1" s="67" t="str" cm="1">
        <f t="array" aca="1" ref="F1" ca="1">IF(INDIRECT("'Measurement Details'!B" &amp; COLUMN() )="", "", INDIRECT("'Measurement Details'!B" &amp; COLUMN() ))</f>
        <v>AE_table</v>
      </c>
      <c r="G1" s="67" t="str" cm="1">
        <f t="array" aca="1" ref="G1" ca="1">IF(INDIRECT("'Measurement Details'!B" &amp; COLUMN() )="", "", INDIRECT("'Measurement Details'!B" &amp; COLUMN() ))</f>
        <v>AE_spindle</v>
      </c>
      <c r="H1" s="67"/>
      <c r="J1" s="60" t="str" cm="1">
        <f t="array" aca="1" ref="J1" ca="1">IF(INDIRECT("'Measurement Details'!B" &amp; COLUMN() - 1)="", "", INDIRECT("'Measurement Details'!B" &amp; COLUMN() - 1))</f>
        <v/>
      </c>
      <c r="K1" s="60" t="str" cm="1">
        <f t="array" aca="1" ref="K1" ca="1">IF(INDIRECT("'Measurement Details'!B" &amp; COLUMN() - 1)="", "", INDIRECT("'Measurement Details'!B" &amp; COLUMN() - 1))</f>
        <v/>
      </c>
      <c r="L1" s="60" t="str" cm="1">
        <f t="array" aca="1" ref="L1" ca="1">IF(INDIRECT("'Measurement Details'!B" &amp; COLUMN() - 1)="", "", INDIRECT("'Measurement Details'!B" &amp; COLUMN() - 1))</f>
        <v/>
      </c>
      <c r="M1" s="60" t="str" cm="1">
        <f t="array" aca="1" ref="M1" ca="1">IF(INDIRECT("'Measurement Details'!B" &amp; COLUMN() - 1)="", "", INDIRECT("'Measurement Details'!B" &amp; COLUMN() - 1))</f>
        <v/>
      </c>
    </row>
    <row r="2" spans="1:13" x14ac:dyDescent="0.3">
      <c r="A2" s="68" t="str">
        <f>IF('Study details'!A2="","",'Study details'!A2)</f>
        <v>s01</v>
      </c>
      <c r="B2" t="str">
        <f ca="1">"a_Case_"&amp;_xlfn.TEXTAFTER($A2,"s")&amp;"_"&amp;B$1&amp;".txt"</f>
        <v>a_Case_01_vib_table.txt</v>
      </c>
      <c r="C2" t="str">
        <f t="shared" ref="C2:G17" ca="1" si="0">"a_Case_"&amp;_xlfn.TEXTAFTER($A2,"s")&amp;"_"&amp;C$1&amp;".txt"</f>
        <v>a_Case_01_vib_spindle.txt</v>
      </c>
      <c r="D2" t="str">
        <f t="shared" ca="1" si="0"/>
        <v>a_Case_01_smcAC.txt</v>
      </c>
      <c r="E2" t="str">
        <f t="shared" ca="1" si="0"/>
        <v>a_Case_01_smcDC.txt</v>
      </c>
      <c r="F2" t="str">
        <f t="shared" ca="1" si="0"/>
        <v>a_Case_01_AE_table.txt</v>
      </c>
      <c r="G2" t="str">
        <f t="shared" ca="1" si="0"/>
        <v>a_Case_01_AE_spindle.txt</v>
      </c>
      <c r="H2"/>
      <c r="J2"/>
      <c r="K2"/>
      <c r="L2"/>
      <c r="M2"/>
    </row>
    <row r="3" spans="1:13" x14ac:dyDescent="0.3">
      <c r="A3" s="68" t="str">
        <f>IF('Study details'!A3="","",'Study details'!A3)</f>
        <v>s02</v>
      </c>
      <c r="B3" t="str">
        <f t="shared" ref="B3:B17" ca="1" si="1">"a_Case_"&amp;_xlfn.TEXTAFTER($A3,"s")&amp;"_"&amp;B$1&amp;".txt"</f>
        <v>a_Case_02_vib_table.txt</v>
      </c>
      <c r="C3" t="str">
        <f t="shared" ca="1" si="0"/>
        <v>a_Case_02_vib_spindle.txt</v>
      </c>
      <c r="D3" t="str">
        <f t="shared" ca="1" si="0"/>
        <v>a_Case_02_smcAC.txt</v>
      </c>
      <c r="E3" t="str">
        <f t="shared" ca="1" si="0"/>
        <v>a_Case_02_smcDC.txt</v>
      </c>
      <c r="F3" t="str">
        <f t="shared" ca="1" si="0"/>
        <v>a_Case_02_AE_table.txt</v>
      </c>
      <c r="G3" t="str">
        <f t="shared" ca="1" si="0"/>
        <v>a_Case_02_AE_spindle.txt</v>
      </c>
      <c r="H3"/>
      <c r="J3"/>
      <c r="K3"/>
      <c r="L3"/>
      <c r="M3"/>
    </row>
    <row r="4" spans="1:13" x14ac:dyDescent="0.3">
      <c r="A4" s="68" t="str">
        <f>IF('Study details'!A4="","",'Study details'!A4)</f>
        <v>s03</v>
      </c>
      <c r="B4" t="str">
        <f t="shared" ca="1" si="1"/>
        <v>a_Case_03_vib_table.txt</v>
      </c>
      <c r="C4" t="str">
        <f t="shared" ca="1" si="0"/>
        <v>a_Case_03_vib_spindle.txt</v>
      </c>
      <c r="D4" t="str">
        <f t="shared" ca="1" si="0"/>
        <v>a_Case_03_smcAC.txt</v>
      </c>
      <c r="E4" t="str">
        <f t="shared" ca="1" si="0"/>
        <v>a_Case_03_smcDC.txt</v>
      </c>
      <c r="F4" t="str">
        <f t="shared" ca="1" si="0"/>
        <v>a_Case_03_AE_table.txt</v>
      </c>
      <c r="G4" t="str">
        <f t="shared" ca="1" si="0"/>
        <v>a_Case_03_AE_spindle.txt</v>
      </c>
      <c r="H4"/>
      <c r="J4"/>
      <c r="K4"/>
      <c r="L4"/>
      <c r="M4"/>
    </row>
    <row r="5" spans="1:13" x14ac:dyDescent="0.3">
      <c r="A5" s="68" t="str">
        <f>IF('Study details'!A5="","",'Study details'!A5)</f>
        <v>s04</v>
      </c>
      <c r="B5" t="str">
        <f t="shared" ca="1" si="1"/>
        <v>a_Case_04_vib_table.txt</v>
      </c>
      <c r="C5" t="str">
        <f t="shared" ca="1" si="0"/>
        <v>a_Case_04_vib_spindle.txt</v>
      </c>
      <c r="D5" t="str">
        <f t="shared" ca="1" si="0"/>
        <v>a_Case_04_smcAC.txt</v>
      </c>
      <c r="E5" t="str">
        <f t="shared" ca="1" si="0"/>
        <v>a_Case_04_smcDC.txt</v>
      </c>
      <c r="F5" t="str">
        <f t="shared" ca="1" si="0"/>
        <v>a_Case_04_AE_table.txt</v>
      </c>
      <c r="G5" t="str">
        <f t="shared" ca="1" si="0"/>
        <v>a_Case_04_AE_spindle.txt</v>
      </c>
      <c r="H5"/>
      <c r="J5"/>
      <c r="K5"/>
      <c r="L5"/>
      <c r="M5"/>
    </row>
    <row r="6" spans="1:13" x14ac:dyDescent="0.3">
      <c r="A6" s="68" t="str">
        <f>IF('Study details'!A6="","",'Study details'!A6)</f>
        <v>s05</v>
      </c>
      <c r="B6" t="str">
        <f t="shared" ca="1" si="1"/>
        <v>a_Case_05_vib_table.txt</v>
      </c>
      <c r="C6" t="str">
        <f t="shared" ca="1" si="0"/>
        <v>a_Case_05_vib_spindle.txt</v>
      </c>
      <c r="D6" t="str">
        <f t="shared" ca="1" si="0"/>
        <v>a_Case_05_smcAC.txt</v>
      </c>
      <c r="E6" t="str">
        <f t="shared" ca="1" si="0"/>
        <v>a_Case_05_smcDC.txt</v>
      </c>
      <c r="F6" t="str">
        <f t="shared" ca="1" si="0"/>
        <v>a_Case_05_AE_table.txt</v>
      </c>
      <c r="G6" t="str">
        <f t="shared" ca="1" si="0"/>
        <v>a_Case_05_AE_spindle.txt</v>
      </c>
      <c r="H6"/>
      <c r="J6"/>
      <c r="K6"/>
      <c r="L6"/>
      <c r="M6"/>
    </row>
    <row r="7" spans="1:13" x14ac:dyDescent="0.3">
      <c r="A7" s="68" t="str">
        <f>IF('Study details'!A7="","",'Study details'!A7)</f>
        <v>s06</v>
      </c>
      <c r="B7" t="str">
        <f t="shared" ca="1" si="1"/>
        <v>a_Case_06_vib_table.txt</v>
      </c>
      <c r="C7" t="str">
        <f t="shared" ca="1" si="0"/>
        <v>a_Case_06_vib_spindle.txt</v>
      </c>
      <c r="D7" t="str">
        <f t="shared" ca="1" si="0"/>
        <v>a_Case_06_smcAC.txt</v>
      </c>
      <c r="E7" t="str">
        <f t="shared" ca="1" si="0"/>
        <v>a_Case_06_smcDC.txt</v>
      </c>
      <c r="F7" t="str">
        <f t="shared" ca="1" si="0"/>
        <v>a_Case_06_AE_table.txt</v>
      </c>
      <c r="G7" t="str">
        <f t="shared" ca="1" si="0"/>
        <v>a_Case_06_AE_spindle.txt</v>
      </c>
      <c r="H7"/>
      <c r="J7"/>
      <c r="K7"/>
      <c r="L7"/>
      <c r="M7"/>
    </row>
    <row r="8" spans="1:13" x14ac:dyDescent="0.3">
      <c r="A8" s="68" t="str">
        <f>IF('Study details'!A8="","",'Study details'!A8)</f>
        <v>s07</v>
      </c>
      <c r="B8" t="str">
        <f t="shared" ca="1" si="1"/>
        <v>a_Case_07_vib_table.txt</v>
      </c>
      <c r="C8" t="str">
        <f t="shared" ca="1" si="0"/>
        <v>a_Case_07_vib_spindle.txt</v>
      </c>
      <c r="D8" t="str">
        <f t="shared" ca="1" si="0"/>
        <v>a_Case_07_smcAC.txt</v>
      </c>
      <c r="E8" t="str">
        <f t="shared" ca="1" si="0"/>
        <v>a_Case_07_smcDC.txt</v>
      </c>
      <c r="F8" t="str">
        <f t="shared" ca="1" si="0"/>
        <v>a_Case_07_AE_table.txt</v>
      </c>
      <c r="G8" t="str">
        <f t="shared" ca="1" si="0"/>
        <v>a_Case_07_AE_spindle.txt</v>
      </c>
      <c r="H8"/>
      <c r="J8"/>
      <c r="K8"/>
      <c r="L8"/>
      <c r="M8"/>
    </row>
    <row r="9" spans="1:13" x14ac:dyDescent="0.3">
      <c r="A9" s="68" t="str">
        <f>IF('Study details'!A9="","",'Study details'!A9)</f>
        <v>s08</v>
      </c>
      <c r="B9" t="str">
        <f t="shared" ca="1" si="1"/>
        <v>a_Case_08_vib_table.txt</v>
      </c>
      <c r="C9" t="str">
        <f t="shared" ca="1" si="0"/>
        <v>a_Case_08_vib_spindle.txt</v>
      </c>
      <c r="D9" t="str">
        <f t="shared" ca="1" si="0"/>
        <v>a_Case_08_smcAC.txt</v>
      </c>
      <c r="E9" t="str">
        <f t="shared" ca="1" si="0"/>
        <v>a_Case_08_smcDC.txt</v>
      </c>
      <c r="F9" t="str">
        <f t="shared" ca="1" si="0"/>
        <v>a_Case_08_AE_table.txt</v>
      </c>
      <c r="G9" t="str">
        <f t="shared" ca="1" si="0"/>
        <v>a_Case_08_AE_spindle.txt</v>
      </c>
      <c r="H9"/>
      <c r="J9"/>
      <c r="K9"/>
      <c r="L9"/>
      <c r="M9"/>
    </row>
    <row r="10" spans="1:13" x14ac:dyDescent="0.3">
      <c r="A10" s="68" t="str">
        <f>IF('Study details'!A10="","",'Study details'!A10)</f>
        <v>s09</v>
      </c>
      <c r="B10" t="str">
        <f t="shared" ca="1" si="1"/>
        <v>a_Case_09_vib_table.txt</v>
      </c>
      <c r="C10" t="str">
        <f t="shared" ca="1" si="0"/>
        <v>a_Case_09_vib_spindle.txt</v>
      </c>
      <c r="D10" t="str">
        <f t="shared" ca="1" si="0"/>
        <v>a_Case_09_smcAC.txt</v>
      </c>
      <c r="E10" t="str">
        <f t="shared" ca="1" si="0"/>
        <v>a_Case_09_smcDC.txt</v>
      </c>
      <c r="F10" t="str">
        <f t="shared" ca="1" si="0"/>
        <v>a_Case_09_AE_table.txt</v>
      </c>
      <c r="G10" t="str">
        <f t="shared" ca="1" si="0"/>
        <v>a_Case_09_AE_spindle.txt</v>
      </c>
      <c r="H10"/>
      <c r="J10"/>
      <c r="K10"/>
      <c r="L10"/>
      <c r="M10"/>
    </row>
    <row r="11" spans="1:13" x14ac:dyDescent="0.3">
      <c r="A11" s="68" t="str">
        <f>IF('Study details'!A11="","",'Study details'!A11)</f>
        <v>s10</v>
      </c>
      <c r="B11" t="str">
        <f t="shared" ca="1" si="1"/>
        <v>a_Case_10_vib_table.txt</v>
      </c>
      <c r="C11" t="str">
        <f t="shared" ca="1" si="0"/>
        <v>a_Case_10_vib_spindle.txt</v>
      </c>
      <c r="D11" t="str">
        <f t="shared" ca="1" si="0"/>
        <v>a_Case_10_smcAC.txt</v>
      </c>
      <c r="E11" t="str">
        <f t="shared" ca="1" si="0"/>
        <v>a_Case_10_smcDC.txt</v>
      </c>
      <c r="F11" t="str">
        <f t="shared" ca="1" si="0"/>
        <v>a_Case_10_AE_table.txt</v>
      </c>
      <c r="G11" t="str">
        <f t="shared" ca="1" si="0"/>
        <v>a_Case_10_AE_spindle.txt</v>
      </c>
      <c r="H11"/>
      <c r="J11"/>
      <c r="K11"/>
      <c r="L11"/>
      <c r="M11"/>
    </row>
    <row r="12" spans="1:13" x14ac:dyDescent="0.3">
      <c r="A12" s="68" t="str">
        <f>IF('Study details'!A12="","",'Study details'!A12)</f>
        <v>s11</v>
      </c>
      <c r="B12" t="str">
        <f t="shared" ca="1" si="1"/>
        <v>a_Case_11_vib_table.txt</v>
      </c>
      <c r="C12" t="str">
        <f t="shared" ca="1" si="0"/>
        <v>a_Case_11_vib_spindle.txt</v>
      </c>
      <c r="D12" t="str">
        <f t="shared" ca="1" si="0"/>
        <v>a_Case_11_smcAC.txt</v>
      </c>
      <c r="E12" t="str">
        <f t="shared" ca="1" si="0"/>
        <v>a_Case_11_smcDC.txt</v>
      </c>
      <c r="F12" t="str">
        <f t="shared" ca="1" si="0"/>
        <v>a_Case_11_AE_table.txt</v>
      </c>
      <c r="G12" t="str">
        <f t="shared" ca="1" si="0"/>
        <v>a_Case_11_AE_spindle.txt</v>
      </c>
      <c r="H12"/>
      <c r="J12"/>
      <c r="K12"/>
      <c r="L12"/>
      <c r="M12"/>
    </row>
    <row r="13" spans="1:13" x14ac:dyDescent="0.3">
      <c r="A13" s="68" t="str">
        <f>IF('Study details'!A13="","",'Study details'!A13)</f>
        <v>s12</v>
      </c>
      <c r="B13" t="str">
        <f t="shared" ca="1" si="1"/>
        <v>a_Case_12_vib_table.txt</v>
      </c>
      <c r="C13" t="str">
        <f t="shared" ca="1" si="0"/>
        <v>a_Case_12_vib_spindle.txt</v>
      </c>
      <c r="D13" t="str">
        <f t="shared" ca="1" si="0"/>
        <v>a_Case_12_smcAC.txt</v>
      </c>
      <c r="E13" t="str">
        <f t="shared" ca="1" si="0"/>
        <v>a_Case_12_smcDC.txt</v>
      </c>
      <c r="F13" t="str">
        <f t="shared" ca="1" si="0"/>
        <v>a_Case_12_AE_table.txt</v>
      </c>
      <c r="G13" t="str">
        <f t="shared" ca="1" si="0"/>
        <v>a_Case_12_AE_spindle.txt</v>
      </c>
      <c r="H13"/>
      <c r="J13"/>
      <c r="K13"/>
      <c r="L13"/>
      <c r="M13"/>
    </row>
    <row r="14" spans="1:13" x14ac:dyDescent="0.3">
      <c r="A14" s="68" t="str">
        <f>IF('Study details'!A14="","",'Study details'!A14)</f>
        <v>s13</v>
      </c>
      <c r="B14" t="str">
        <f t="shared" ca="1" si="1"/>
        <v>a_Case_13_vib_table.txt</v>
      </c>
      <c r="C14" t="str">
        <f t="shared" ca="1" si="0"/>
        <v>a_Case_13_vib_spindle.txt</v>
      </c>
      <c r="D14" t="str">
        <f t="shared" ca="1" si="0"/>
        <v>a_Case_13_smcAC.txt</v>
      </c>
      <c r="E14" t="str">
        <f t="shared" ca="1" si="0"/>
        <v>a_Case_13_smcDC.txt</v>
      </c>
      <c r="F14" t="str">
        <f t="shared" ca="1" si="0"/>
        <v>a_Case_13_AE_table.txt</v>
      </c>
      <c r="G14" t="str">
        <f t="shared" ca="1" si="0"/>
        <v>a_Case_13_AE_spindle.txt</v>
      </c>
      <c r="H14"/>
      <c r="J14"/>
      <c r="K14"/>
      <c r="L14"/>
      <c r="M14"/>
    </row>
    <row r="15" spans="1:13" x14ac:dyDescent="0.3">
      <c r="A15" s="68" t="str">
        <f>IF('Study details'!A15="","",'Study details'!A15)</f>
        <v>s14</v>
      </c>
      <c r="B15" t="str">
        <f t="shared" ca="1" si="1"/>
        <v>a_Case_14_vib_table.txt</v>
      </c>
      <c r="C15" t="str">
        <f t="shared" ca="1" si="0"/>
        <v>a_Case_14_vib_spindle.txt</v>
      </c>
      <c r="D15" t="str">
        <f t="shared" ca="1" si="0"/>
        <v>a_Case_14_smcAC.txt</v>
      </c>
      <c r="E15" t="str">
        <f t="shared" ca="1" si="0"/>
        <v>a_Case_14_smcDC.txt</v>
      </c>
      <c r="F15" t="str">
        <f t="shared" ca="1" si="0"/>
        <v>a_Case_14_AE_table.txt</v>
      </c>
      <c r="G15" t="str">
        <f t="shared" ca="1" si="0"/>
        <v>a_Case_14_AE_spindle.txt</v>
      </c>
      <c r="H15"/>
      <c r="J15"/>
      <c r="K15"/>
      <c r="L15"/>
      <c r="M15"/>
    </row>
    <row r="16" spans="1:13" x14ac:dyDescent="0.3">
      <c r="A16" s="68" t="str">
        <f>IF('Study details'!A16="","",'Study details'!A16)</f>
        <v>s15</v>
      </c>
      <c r="B16" t="str">
        <f t="shared" ca="1" si="1"/>
        <v>a_Case_15_vib_table.txt</v>
      </c>
      <c r="C16" t="str">
        <f t="shared" ca="1" si="0"/>
        <v>a_Case_15_vib_spindle.txt</v>
      </c>
      <c r="D16" t="str">
        <f t="shared" ca="1" si="0"/>
        <v>a_Case_15_smcAC.txt</v>
      </c>
      <c r="E16" t="str">
        <f t="shared" ca="1" si="0"/>
        <v>a_Case_15_smcDC.txt</v>
      </c>
      <c r="F16" t="str">
        <f t="shared" ca="1" si="0"/>
        <v>a_Case_15_AE_table.txt</v>
      </c>
      <c r="G16" t="str">
        <f t="shared" ca="1" si="0"/>
        <v>a_Case_15_AE_spindle.txt</v>
      </c>
      <c r="H16"/>
      <c r="J16"/>
      <c r="K16"/>
      <c r="L16"/>
      <c r="M16"/>
    </row>
    <row r="17" spans="1:13" x14ac:dyDescent="0.3">
      <c r="A17" s="68" t="str">
        <f>IF('Study details'!A17="","",'Study details'!A17)</f>
        <v>s16</v>
      </c>
      <c r="B17" t="str">
        <f t="shared" ca="1" si="1"/>
        <v>a_Case_16_vib_table.txt</v>
      </c>
      <c r="C17" t="str">
        <f t="shared" ca="1" si="0"/>
        <v>a_Case_16_vib_spindle.txt</v>
      </c>
      <c r="D17" t="str">
        <f t="shared" ca="1" si="0"/>
        <v>a_Case_16_smcAC.txt</v>
      </c>
      <c r="E17" t="str">
        <f t="shared" ca="1" si="0"/>
        <v>a_Case_16_smcDC.txt</v>
      </c>
      <c r="F17" t="str">
        <f t="shared" ca="1" si="0"/>
        <v>a_Case_16_AE_table.txt</v>
      </c>
      <c r="G17" t="str">
        <f t="shared" ca="1" si="0"/>
        <v>a_Case_16_AE_spindle.txt</v>
      </c>
      <c r="H17"/>
      <c r="J17"/>
      <c r="K17"/>
      <c r="L17"/>
      <c r="M17"/>
    </row>
    <row r="18" spans="1:13" s="60" customFormat="1" x14ac:dyDescent="0.3">
      <c r="B18"/>
      <c r="C18"/>
      <c r="D18"/>
      <c r="E18"/>
      <c r="F18"/>
      <c r="G18"/>
      <c r="H18"/>
    </row>
    <row r="19" spans="1:13" x14ac:dyDescent="0.3">
      <c r="A19" s="68" t="str">
        <f>IF('Study details'!A18="","",'Study details'!A18)</f>
        <v/>
      </c>
      <c r="B19"/>
      <c r="C19"/>
      <c r="D19"/>
      <c r="E19"/>
      <c r="F19"/>
      <c r="G19"/>
      <c r="H19"/>
    </row>
    <row r="20" spans="1:13" x14ac:dyDescent="0.3">
      <c r="A20" s="68" t="str">
        <f>IF('Study details'!A19="","",'Study details'!A19)</f>
        <v/>
      </c>
      <c r="B20"/>
      <c r="C20"/>
      <c r="D20"/>
      <c r="E20"/>
      <c r="F20"/>
      <c r="G20"/>
      <c r="H20"/>
    </row>
    <row r="21" spans="1:13" x14ac:dyDescent="0.3">
      <c r="A21" s="68" t="str">
        <f>IF('Study details'!A20="","",'Study details'!A20)</f>
        <v/>
      </c>
      <c r="B21"/>
      <c r="C21"/>
      <c r="D21"/>
      <c r="E21"/>
      <c r="F21"/>
      <c r="G21"/>
      <c r="H21"/>
    </row>
    <row r="22" spans="1:13" x14ac:dyDescent="0.3">
      <c r="A22" s="68" t="str">
        <f>IF('Study details'!A21="","",'Study details'!A21)</f>
        <v/>
      </c>
      <c r="B22"/>
      <c r="C22"/>
      <c r="D22"/>
      <c r="E22"/>
      <c r="F22"/>
      <c r="G22"/>
      <c r="H22"/>
    </row>
    <row r="23" spans="1:13" x14ac:dyDescent="0.3">
      <c r="A23" s="68" t="str">
        <f>IF('Study details'!A22="","",'Study details'!A22)</f>
        <v/>
      </c>
      <c r="B23"/>
      <c r="C23"/>
      <c r="D23"/>
      <c r="E23"/>
      <c r="F23"/>
      <c r="G23"/>
      <c r="H23"/>
    </row>
    <row r="24" spans="1:13" x14ac:dyDescent="0.3">
      <c r="A24" s="68" t="str">
        <f>IF('Study details'!A23="","",'Study details'!A23)</f>
        <v/>
      </c>
      <c r="B24"/>
      <c r="C24"/>
      <c r="D24"/>
      <c r="E24"/>
      <c r="F24"/>
      <c r="G24"/>
      <c r="H24"/>
    </row>
    <row r="25" spans="1:13" x14ac:dyDescent="0.3">
      <c r="A25" s="68" t="str">
        <f>IF('Study details'!A24="","",'Study details'!A24)</f>
        <v/>
      </c>
      <c r="B25"/>
      <c r="C25"/>
      <c r="D25"/>
      <c r="E25"/>
      <c r="F25"/>
      <c r="G25"/>
      <c r="H25"/>
    </row>
    <row r="26" spans="1:13" x14ac:dyDescent="0.3">
      <c r="A26" s="68" t="str">
        <f>IF('Study details'!A25="","",'Study details'!A25)</f>
        <v/>
      </c>
      <c r="B26"/>
      <c r="C26"/>
      <c r="D26"/>
      <c r="E26"/>
      <c r="F26"/>
      <c r="G26"/>
      <c r="H26"/>
    </row>
    <row r="27" spans="1:13" x14ac:dyDescent="0.3">
      <c r="A27" s="68" t="str">
        <f>IF('Study details'!A26="","",'Study details'!A26)</f>
        <v/>
      </c>
      <c r="B27"/>
      <c r="C27"/>
      <c r="D27"/>
      <c r="E27"/>
      <c r="F27"/>
      <c r="G27"/>
      <c r="H27"/>
    </row>
    <row r="28" spans="1:13" x14ac:dyDescent="0.3">
      <c r="A28" s="68" t="str">
        <f>IF('Study details'!A27="","",'Study details'!A27)</f>
        <v/>
      </c>
      <c r="B28"/>
      <c r="C28"/>
      <c r="D28"/>
      <c r="E28"/>
      <c r="F28"/>
      <c r="G28"/>
      <c r="H28"/>
    </row>
    <row r="29" spans="1:13" x14ac:dyDescent="0.3">
      <c r="A29" s="68" t="str">
        <f>IF('Study details'!A28="","",'Study details'!A28)</f>
        <v/>
      </c>
      <c r="B29"/>
      <c r="C29"/>
      <c r="D29"/>
      <c r="E29"/>
      <c r="F29"/>
      <c r="G29"/>
      <c r="H29"/>
    </row>
    <row r="30" spans="1:13" x14ac:dyDescent="0.3">
      <c r="A30" s="68" t="str">
        <f>IF('Study details'!A29="","",'Study details'!A29)</f>
        <v/>
      </c>
      <c r="B30"/>
      <c r="C30"/>
      <c r="D30"/>
      <c r="E30"/>
      <c r="F30"/>
      <c r="G30"/>
      <c r="H30"/>
    </row>
    <row r="31" spans="1:13" x14ac:dyDescent="0.3">
      <c r="A31" s="68" t="str">
        <f>IF('Study details'!A30="","",'Study details'!A30)</f>
        <v/>
      </c>
      <c r="B31"/>
      <c r="C31"/>
      <c r="D31"/>
      <c r="E31"/>
      <c r="F31"/>
      <c r="G31"/>
      <c r="H31"/>
    </row>
    <row r="32" spans="1:13" s="60" customFormat="1" x14ac:dyDescent="0.3">
      <c r="A32" s="68" t="str">
        <f>IF('Study details'!A31="","",'Study details'!A31)</f>
        <v/>
      </c>
      <c r="B32"/>
      <c r="C32"/>
      <c r="D32"/>
      <c r="E32"/>
      <c r="F32"/>
      <c r="G32"/>
      <c r="H32"/>
    </row>
    <row r="33" spans="1:8" x14ac:dyDescent="0.3">
      <c r="A33" s="68" t="str">
        <f>IF('Study details'!A32="","",'Study details'!A32)</f>
        <v/>
      </c>
      <c r="B33"/>
      <c r="C33"/>
      <c r="D33"/>
      <c r="E33"/>
      <c r="F33"/>
      <c r="G33"/>
      <c r="H33"/>
    </row>
    <row r="34" spans="1:8" x14ac:dyDescent="0.3">
      <c r="A34" s="68" t="str">
        <f>IF('Study details'!A33="","",'Study details'!A33)</f>
        <v/>
      </c>
      <c r="B34"/>
      <c r="C34"/>
      <c r="D34"/>
      <c r="E34"/>
      <c r="F34"/>
      <c r="G34"/>
      <c r="H34"/>
    </row>
    <row r="35" spans="1:8" x14ac:dyDescent="0.3">
      <c r="A35" s="68" t="str">
        <f>IF('Study details'!A34="","",'Study details'!A34)</f>
        <v/>
      </c>
      <c r="B35"/>
      <c r="C35"/>
      <c r="D35"/>
      <c r="E35"/>
      <c r="F35"/>
      <c r="G35"/>
      <c r="H35"/>
    </row>
    <row r="36" spans="1:8" x14ac:dyDescent="0.3">
      <c r="A36" s="68" t="str">
        <f>IF('Study details'!A35="","",'Study details'!A35)</f>
        <v/>
      </c>
      <c r="B36"/>
      <c r="C36"/>
      <c r="D36"/>
      <c r="E36"/>
      <c r="F36"/>
      <c r="G36"/>
      <c r="H36"/>
    </row>
    <row r="37" spans="1:8" x14ac:dyDescent="0.3">
      <c r="A37" s="68" t="str">
        <f>IF('Study details'!A36="","",'Study details'!A36)</f>
        <v/>
      </c>
      <c r="B37"/>
      <c r="C37"/>
      <c r="D37"/>
      <c r="E37"/>
      <c r="F37"/>
      <c r="G37"/>
      <c r="H37"/>
    </row>
    <row r="38" spans="1:8" x14ac:dyDescent="0.3">
      <c r="A38" s="68" t="str">
        <f>IF('Study details'!A37="","",'Study details'!A37)</f>
        <v/>
      </c>
      <c r="B38"/>
      <c r="C38"/>
      <c r="D38"/>
      <c r="E38"/>
      <c r="F38"/>
      <c r="G38"/>
      <c r="H38"/>
    </row>
    <row r="39" spans="1:8" x14ac:dyDescent="0.3">
      <c r="A39" s="68" t="str">
        <f>IF('Study details'!A38="","",'Study details'!A38)</f>
        <v/>
      </c>
      <c r="B39"/>
      <c r="C39"/>
      <c r="D39"/>
      <c r="E39"/>
      <c r="F39"/>
      <c r="G39"/>
      <c r="H39"/>
    </row>
    <row r="40" spans="1:8" x14ac:dyDescent="0.3">
      <c r="A40" s="68" t="str">
        <f>IF('Study details'!A39="","",'Study details'!A39)</f>
        <v/>
      </c>
      <c r="B40"/>
      <c r="C40"/>
      <c r="D40"/>
      <c r="E40"/>
      <c r="F40"/>
      <c r="G40"/>
      <c r="H40"/>
    </row>
    <row r="41" spans="1:8" x14ac:dyDescent="0.3">
      <c r="A41" s="68" t="str">
        <f>IF('Study details'!A40="","",'Study details'!A40)</f>
        <v/>
      </c>
      <c r="B41"/>
      <c r="C41"/>
      <c r="D41"/>
      <c r="E41"/>
      <c r="F41"/>
      <c r="G41"/>
      <c r="H41"/>
    </row>
    <row r="42" spans="1:8" x14ac:dyDescent="0.3">
      <c r="A42" s="68" t="str">
        <f>IF('Study details'!A41="","",'Study details'!A41)</f>
        <v/>
      </c>
      <c r="B42"/>
      <c r="C42"/>
      <c r="D42"/>
      <c r="E42"/>
      <c r="F42"/>
      <c r="G42"/>
      <c r="H42"/>
    </row>
    <row r="43" spans="1:8" x14ac:dyDescent="0.3">
      <c r="A43" s="68" t="str">
        <f>IF('Study details'!A42="","",'Study details'!A42)</f>
        <v/>
      </c>
      <c r="B43"/>
      <c r="C43"/>
      <c r="D43"/>
      <c r="E43"/>
      <c r="F43"/>
      <c r="G43"/>
      <c r="H43"/>
    </row>
    <row r="44" spans="1:8" x14ac:dyDescent="0.3">
      <c r="A44" s="68" t="str">
        <f>IF('Study details'!A43="","",'Study details'!A43)</f>
        <v/>
      </c>
      <c r="B44"/>
      <c r="C44"/>
      <c r="D44"/>
      <c r="E44"/>
      <c r="F44"/>
      <c r="G44"/>
      <c r="H44"/>
    </row>
    <row r="45" spans="1:8" x14ac:dyDescent="0.3">
      <c r="A45" s="68" t="str">
        <f>IF('Study details'!A44="","",'Study details'!A44)</f>
        <v/>
      </c>
      <c r="B45"/>
      <c r="C45"/>
      <c r="D45"/>
      <c r="E45"/>
      <c r="F45"/>
      <c r="G45"/>
      <c r="H45"/>
    </row>
    <row r="46" spans="1:8" s="60" customFormat="1" x14ac:dyDescent="0.3">
      <c r="A46" s="68" t="str">
        <f>IF('Study details'!A45="","",'Study details'!A45)</f>
        <v/>
      </c>
      <c r="B46"/>
      <c r="C46"/>
      <c r="D46"/>
      <c r="E46"/>
      <c r="F46"/>
      <c r="G46"/>
      <c r="H46"/>
    </row>
    <row r="47" spans="1:8" x14ac:dyDescent="0.3">
      <c r="A47" s="68" t="str">
        <f>IF('Study details'!A46="","",'Study details'!A46)</f>
        <v/>
      </c>
      <c r="B47"/>
      <c r="C47"/>
      <c r="D47"/>
      <c r="E47"/>
      <c r="F47"/>
      <c r="G47"/>
      <c r="H47"/>
    </row>
    <row r="48" spans="1:8" x14ac:dyDescent="0.3">
      <c r="A48" s="68" t="str">
        <f>IF('Study details'!A47="","",'Study details'!A47)</f>
        <v/>
      </c>
      <c r="B48"/>
      <c r="C48"/>
      <c r="D48"/>
      <c r="E48"/>
      <c r="F48"/>
      <c r="G48"/>
      <c r="H48"/>
    </row>
    <row r="49" spans="1:13" x14ac:dyDescent="0.3">
      <c r="A49" s="68" t="str">
        <f>IF('Study details'!A48="","",'Study details'!A48)</f>
        <v/>
      </c>
      <c r="B49"/>
      <c r="C49"/>
      <c r="D49"/>
      <c r="E49"/>
      <c r="F49"/>
      <c r="G49"/>
      <c r="H49"/>
    </row>
    <row r="50" spans="1:13" x14ac:dyDescent="0.3">
      <c r="A50" s="68" t="str">
        <f>IF('Study details'!A49="","",'Study details'!A49)</f>
        <v/>
      </c>
      <c r="B50"/>
      <c r="C50"/>
      <c r="D50"/>
      <c r="E50"/>
      <c r="F50"/>
      <c r="G50"/>
      <c r="H50"/>
    </row>
    <row r="51" spans="1:13" x14ac:dyDescent="0.3">
      <c r="A51" s="68" t="str">
        <f>IF('Study details'!A50="","",'Study details'!A50)</f>
        <v/>
      </c>
      <c r="B51"/>
      <c r="C51"/>
      <c r="D51"/>
      <c r="E51"/>
      <c r="F51"/>
      <c r="G51"/>
      <c r="H51"/>
    </row>
    <row r="52" spans="1:13" x14ac:dyDescent="0.3">
      <c r="A52" s="68" t="str">
        <f>IF('Study details'!A51="","",'Study details'!A51)</f>
        <v/>
      </c>
      <c r="B52"/>
      <c r="C52"/>
      <c r="D52"/>
      <c r="E52"/>
      <c r="F52"/>
      <c r="G52"/>
      <c r="H52"/>
    </row>
    <row r="53" spans="1:13" s="60" customFormat="1" x14ac:dyDescent="0.3">
      <c r="A53" s="68" t="str">
        <f>IF('Study details'!A52="","",'Study details'!A52)</f>
        <v/>
      </c>
      <c r="B53"/>
      <c r="C53"/>
      <c r="D53"/>
      <c r="E53"/>
      <c r="F53"/>
      <c r="G53"/>
      <c r="H53"/>
    </row>
    <row r="54" spans="1:13" x14ac:dyDescent="0.3">
      <c r="A54" s="68" t="str">
        <f>IF('Study details'!A53="","",'Study details'!A53)</f>
        <v/>
      </c>
      <c r="B54"/>
      <c r="C54"/>
      <c r="D54"/>
      <c r="E54"/>
      <c r="F54"/>
      <c r="G54"/>
      <c r="H54"/>
    </row>
    <row r="55" spans="1:13" x14ac:dyDescent="0.3">
      <c r="A55" s="68" t="str">
        <f>IF('Study details'!A54="","",'Study details'!A54)</f>
        <v/>
      </c>
      <c r="B55"/>
      <c r="C55"/>
      <c r="D55"/>
      <c r="E55"/>
      <c r="F55"/>
      <c r="G55"/>
      <c r="H55"/>
    </row>
    <row r="56" spans="1:13" x14ac:dyDescent="0.3">
      <c r="A56" s="68" t="str">
        <f>IF('Study details'!A55="","",'Study details'!A55)</f>
        <v/>
      </c>
      <c r="B56"/>
      <c r="C56"/>
      <c r="D56"/>
      <c r="E56"/>
      <c r="F56"/>
      <c r="G56"/>
      <c r="H56"/>
    </row>
    <row r="57" spans="1:13" x14ac:dyDescent="0.3">
      <c r="A57" s="68" t="str">
        <f>IF('Study details'!A56="","",'Study details'!A56)</f>
        <v/>
      </c>
      <c r="B57"/>
      <c r="C57"/>
      <c r="D57"/>
      <c r="E57"/>
      <c r="F57"/>
      <c r="G57"/>
      <c r="H57"/>
    </row>
    <row r="58" spans="1:13" x14ac:dyDescent="0.3">
      <c r="A58" s="68" t="str">
        <f>IF('Study details'!A57="","",'Study details'!A57)</f>
        <v/>
      </c>
      <c r="B58"/>
      <c r="C58"/>
      <c r="D58"/>
      <c r="E58"/>
      <c r="F58"/>
      <c r="G58"/>
      <c r="H58"/>
    </row>
    <row r="59" spans="1:13" s="60" customFormat="1" x14ac:dyDescent="0.3">
      <c r="A59" s="68" t="str">
        <f>IF('Study details'!A58="","",'Study details'!A58)</f>
        <v/>
      </c>
      <c r="B59"/>
      <c r="C59"/>
      <c r="D59"/>
      <c r="E59"/>
      <c r="F59"/>
      <c r="G59"/>
      <c r="H59"/>
    </row>
    <row r="60" spans="1:13" s="60" customFormat="1" x14ac:dyDescent="0.3">
      <c r="A60" s="68" t="str">
        <f>IF('Study details'!A59="","",'Study details'!A59)</f>
        <v/>
      </c>
      <c r="B60"/>
      <c r="C60"/>
      <c r="D60"/>
      <c r="E60"/>
      <c r="F60"/>
      <c r="G60"/>
      <c r="H60"/>
      <c r="J60" s="61"/>
      <c r="K60" s="61"/>
      <c r="L60" s="61"/>
      <c r="M60" s="61"/>
    </row>
    <row r="61" spans="1:13" x14ac:dyDescent="0.3">
      <c r="A61" s="68" t="str">
        <f>IF('Study details'!A60="","",'Study details'!A60)</f>
        <v/>
      </c>
      <c r="B61"/>
      <c r="C61"/>
      <c r="D61"/>
      <c r="E61"/>
      <c r="F61"/>
      <c r="G61"/>
      <c r="H61"/>
    </row>
    <row r="62" spans="1:13" x14ac:dyDescent="0.3">
      <c r="A62" s="68" t="str">
        <f>IF('Study details'!A61="","",'Study details'!A61)</f>
        <v/>
      </c>
      <c r="B62"/>
      <c r="C62"/>
      <c r="D62"/>
      <c r="E62"/>
      <c r="F62"/>
      <c r="G62"/>
      <c r="H62"/>
    </row>
    <row r="63" spans="1:13" x14ac:dyDescent="0.3">
      <c r="A63" s="68" t="str">
        <f>IF('Study details'!A62="","",'Study details'!A62)</f>
        <v/>
      </c>
      <c r="B63"/>
      <c r="C63"/>
      <c r="D63"/>
      <c r="E63"/>
      <c r="F63"/>
      <c r="G63"/>
      <c r="H63"/>
    </row>
    <row r="64" spans="1:13" x14ac:dyDescent="0.3">
      <c r="A64" s="68" t="str">
        <f>IF('Study details'!A63="","",'Study details'!A63)</f>
        <v/>
      </c>
      <c r="B64"/>
      <c r="C64"/>
      <c r="D64"/>
      <c r="E64"/>
      <c r="F64"/>
      <c r="G64"/>
      <c r="H64"/>
    </row>
    <row r="65" spans="1:8" x14ac:dyDescent="0.3">
      <c r="A65" s="68" t="str">
        <f>IF('Study details'!A64="","",'Study details'!A64)</f>
        <v/>
      </c>
      <c r="B65"/>
      <c r="C65"/>
      <c r="D65"/>
      <c r="E65"/>
      <c r="F65"/>
      <c r="G65"/>
      <c r="H65"/>
    </row>
    <row r="66" spans="1:8" x14ac:dyDescent="0.3">
      <c r="A66" s="68" t="str">
        <f>IF('Study details'!A65="","",'Study details'!A65)</f>
        <v/>
      </c>
      <c r="B66"/>
      <c r="C66"/>
      <c r="D66"/>
      <c r="E66"/>
      <c r="F66"/>
      <c r="G66"/>
      <c r="H66"/>
    </row>
    <row r="67" spans="1:8" x14ac:dyDescent="0.3">
      <c r="A67" s="68" t="str">
        <f>IF('Study details'!A66="","",'Study details'!A66)</f>
        <v/>
      </c>
      <c r="B67"/>
      <c r="C67"/>
      <c r="D67"/>
      <c r="E67"/>
      <c r="F67"/>
      <c r="G67"/>
      <c r="H67"/>
    </row>
    <row r="68" spans="1:8" s="60" customFormat="1" x14ac:dyDescent="0.3">
      <c r="A68" s="68" t="str">
        <f>IF('Study details'!A67="","",'Study details'!A67)</f>
        <v/>
      </c>
      <c r="B68"/>
      <c r="C68"/>
      <c r="D68"/>
      <c r="E68"/>
      <c r="F68"/>
      <c r="G68"/>
      <c r="H68"/>
    </row>
    <row r="69" spans="1:8" x14ac:dyDescent="0.3">
      <c r="A69" s="68" t="str">
        <f>IF('Study details'!A68="","",'Study details'!A68)</f>
        <v/>
      </c>
      <c r="B69"/>
      <c r="C69"/>
      <c r="D69"/>
      <c r="E69"/>
      <c r="F69"/>
      <c r="G69"/>
      <c r="H69"/>
    </row>
    <row r="70" spans="1:8" x14ac:dyDescent="0.3">
      <c r="A70" s="68" t="str">
        <f>IF('Study details'!A69="","",'Study details'!A69)</f>
        <v/>
      </c>
      <c r="B70"/>
      <c r="C70"/>
      <c r="D70"/>
      <c r="E70"/>
      <c r="F70"/>
      <c r="G70"/>
      <c r="H70"/>
    </row>
    <row r="71" spans="1:8" x14ac:dyDescent="0.3">
      <c r="A71" s="68" t="str">
        <f>IF('Study details'!A70="","",'Study details'!A70)</f>
        <v/>
      </c>
      <c r="B71"/>
      <c r="C71"/>
      <c r="D71"/>
      <c r="E71"/>
      <c r="F71"/>
      <c r="G71"/>
      <c r="H71"/>
    </row>
    <row r="72" spans="1:8" x14ac:dyDescent="0.3">
      <c r="A72" s="68" t="str">
        <f>IF('Study details'!A71="","",'Study details'!A71)</f>
        <v/>
      </c>
      <c r="B72"/>
      <c r="C72"/>
      <c r="D72"/>
      <c r="E72"/>
      <c r="F72"/>
      <c r="G72"/>
      <c r="H72"/>
    </row>
    <row r="73" spans="1:8" x14ac:dyDescent="0.3">
      <c r="A73" s="68" t="str">
        <f>IF('Study details'!A72="","",'Study details'!A72)</f>
        <v/>
      </c>
      <c r="B73"/>
      <c r="C73"/>
      <c r="D73"/>
      <c r="E73"/>
      <c r="F73"/>
      <c r="G73"/>
      <c r="H73"/>
    </row>
    <row r="74" spans="1:8" s="60" customFormat="1" x14ac:dyDescent="0.3">
      <c r="A74" s="68" t="str">
        <f>IF('Study details'!A73="","",'Study details'!A73)</f>
        <v/>
      </c>
      <c r="B74"/>
      <c r="C74"/>
      <c r="D74"/>
      <c r="E74"/>
      <c r="F74"/>
      <c r="G74"/>
      <c r="H74"/>
    </row>
    <row r="75" spans="1:8" x14ac:dyDescent="0.3">
      <c r="A75" s="68" t="str">
        <f>IF('Study details'!A74="","",'Study details'!A74)</f>
        <v/>
      </c>
      <c r="B75"/>
      <c r="C75"/>
      <c r="D75"/>
      <c r="E75"/>
      <c r="F75"/>
      <c r="G75"/>
      <c r="H75"/>
    </row>
    <row r="76" spans="1:8" x14ac:dyDescent="0.3">
      <c r="A76" s="68" t="str">
        <f>IF('Study details'!A75="","",'Study details'!A75)</f>
        <v/>
      </c>
      <c r="B76"/>
      <c r="C76"/>
      <c r="D76"/>
      <c r="E76"/>
      <c r="F76"/>
      <c r="G76"/>
      <c r="H76"/>
    </row>
    <row r="77" spans="1:8" x14ac:dyDescent="0.3">
      <c r="A77" s="68" t="str">
        <f>IF('Study details'!A76="","",'Study details'!A76)</f>
        <v/>
      </c>
      <c r="B77"/>
      <c r="C77"/>
      <c r="D77"/>
      <c r="E77"/>
      <c r="F77"/>
      <c r="G77"/>
      <c r="H77"/>
    </row>
    <row r="78" spans="1:8" x14ac:dyDescent="0.3">
      <c r="A78" s="68" t="str">
        <f>IF('Study details'!A77="","",'Study details'!A77)</f>
        <v/>
      </c>
      <c r="B78"/>
      <c r="C78"/>
      <c r="D78"/>
      <c r="E78"/>
      <c r="F78"/>
      <c r="G78"/>
      <c r="H78"/>
    </row>
    <row r="79" spans="1:8" x14ac:dyDescent="0.3">
      <c r="A79" s="68" t="str">
        <f>IF('Study details'!A78="","",'Study details'!A78)</f>
        <v/>
      </c>
      <c r="B79"/>
      <c r="C79"/>
      <c r="D79"/>
      <c r="E79"/>
      <c r="F79"/>
      <c r="G79"/>
      <c r="H79"/>
    </row>
    <row r="80" spans="1:8" x14ac:dyDescent="0.3">
      <c r="A80" s="68" t="str">
        <f>IF('Study details'!A79="","",'Study details'!A79)</f>
        <v/>
      </c>
      <c r="B80"/>
      <c r="C80"/>
      <c r="D80"/>
      <c r="E80"/>
      <c r="F80"/>
      <c r="G80"/>
      <c r="H80"/>
    </row>
    <row r="81" spans="1:8" x14ac:dyDescent="0.3">
      <c r="A81" s="68" t="str">
        <f>IF('Study details'!A80="","",'Study details'!A80)</f>
        <v/>
      </c>
      <c r="B81"/>
      <c r="C81"/>
      <c r="D81"/>
      <c r="E81"/>
      <c r="F81"/>
      <c r="G81"/>
      <c r="H81"/>
    </row>
    <row r="82" spans="1:8" x14ac:dyDescent="0.3">
      <c r="A82" s="68" t="str">
        <f>IF('Study details'!A81="","",'Study details'!A81)</f>
        <v/>
      </c>
      <c r="B82"/>
      <c r="C82"/>
      <c r="D82"/>
      <c r="E82"/>
      <c r="F82"/>
      <c r="G82"/>
      <c r="H82"/>
    </row>
    <row r="83" spans="1:8" s="60" customFormat="1" x14ac:dyDescent="0.3">
      <c r="A83" s="68" t="str">
        <f>IF('Study details'!A82="","",'Study details'!A82)</f>
        <v/>
      </c>
      <c r="B83"/>
      <c r="C83"/>
      <c r="D83"/>
      <c r="E83"/>
      <c r="F83"/>
      <c r="G83"/>
      <c r="H83"/>
    </row>
    <row r="84" spans="1:8" x14ac:dyDescent="0.3">
      <c r="A84" s="68" t="str">
        <f>IF('Study details'!A83="","",'Study details'!A83)</f>
        <v/>
      </c>
      <c r="B84"/>
      <c r="C84"/>
      <c r="D84"/>
      <c r="E84"/>
      <c r="F84"/>
      <c r="G84"/>
      <c r="H84"/>
    </row>
    <row r="85" spans="1:8" x14ac:dyDescent="0.3">
      <c r="A85" s="68" t="str">
        <f>IF('Study details'!A84="","",'Study details'!A84)</f>
        <v/>
      </c>
      <c r="B85"/>
      <c r="C85"/>
      <c r="D85"/>
      <c r="E85"/>
      <c r="F85"/>
      <c r="G85"/>
      <c r="H85"/>
    </row>
    <row r="86" spans="1:8" x14ac:dyDescent="0.3">
      <c r="A86" s="68" t="str">
        <f>IF('Study details'!A85="","",'Study details'!A85)</f>
        <v/>
      </c>
      <c r="B86"/>
      <c r="C86"/>
      <c r="D86"/>
      <c r="E86"/>
      <c r="F86"/>
      <c r="G86"/>
      <c r="H86"/>
    </row>
    <row r="87" spans="1:8" x14ac:dyDescent="0.3">
      <c r="A87" s="68" t="str">
        <f>IF('Study details'!A86="","",'Study details'!A86)</f>
        <v/>
      </c>
      <c r="B87"/>
      <c r="C87"/>
      <c r="D87"/>
      <c r="E87"/>
      <c r="F87"/>
      <c r="G87"/>
      <c r="H87"/>
    </row>
    <row r="88" spans="1:8" x14ac:dyDescent="0.3">
      <c r="A88" s="68" t="str">
        <f>IF('Study details'!A87="","",'Study details'!A87)</f>
        <v/>
      </c>
      <c r="B88"/>
      <c r="C88"/>
      <c r="D88"/>
      <c r="E88"/>
      <c r="F88"/>
      <c r="G88"/>
      <c r="H88"/>
    </row>
    <row r="89" spans="1:8" x14ac:dyDescent="0.3">
      <c r="A89" s="68" t="str">
        <f>IF('Study details'!A88="","",'Study details'!A88)</f>
        <v/>
      </c>
      <c r="B89"/>
      <c r="C89"/>
      <c r="D89"/>
      <c r="E89"/>
      <c r="F89"/>
      <c r="G89"/>
      <c r="H89"/>
    </row>
    <row r="90" spans="1:8" x14ac:dyDescent="0.3">
      <c r="A90" s="68" t="str">
        <f>IF('Study details'!A89="","",'Study details'!A89)</f>
        <v/>
      </c>
      <c r="B90"/>
      <c r="C90"/>
      <c r="D90"/>
      <c r="E90"/>
      <c r="F90"/>
      <c r="G90"/>
      <c r="H90"/>
    </row>
    <row r="91" spans="1:8" x14ac:dyDescent="0.3">
      <c r="A91" s="68" t="str">
        <f>IF('Study details'!A90="","",'Study details'!A90)</f>
        <v/>
      </c>
      <c r="B91"/>
      <c r="C91"/>
      <c r="D91"/>
      <c r="E91"/>
      <c r="F91"/>
      <c r="G91"/>
      <c r="H91"/>
    </row>
    <row r="92" spans="1:8" x14ac:dyDescent="0.3">
      <c r="A92" s="68" t="str">
        <f>IF('Study details'!A91="","",'Study details'!A91)</f>
        <v/>
      </c>
      <c r="B92"/>
      <c r="C92"/>
      <c r="D92"/>
      <c r="E92"/>
      <c r="F92"/>
      <c r="G92"/>
      <c r="H92"/>
    </row>
    <row r="93" spans="1:8" s="60" customFormat="1" x14ac:dyDescent="0.3">
      <c r="A93" s="68" t="str">
        <f>IF('Study details'!A92="","",'Study details'!A92)</f>
        <v/>
      </c>
      <c r="B93"/>
      <c r="C93"/>
      <c r="D93"/>
      <c r="E93"/>
      <c r="F93"/>
      <c r="G93"/>
      <c r="H93"/>
    </row>
    <row r="94" spans="1:8" x14ac:dyDescent="0.3">
      <c r="A94" s="68" t="str">
        <f>IF('Study details'!A93="","",'Study details'!A93)</f>
        <v/>
      </c>
      <c r="B94"/>
      <c r="C94"/>
      <c r="D94"/>
      <c r="E94"/>
      <c r="F94"/>
      <c r="G94"/>
      <c r="H94"/>
    </row>
    <row r="95" spans="1:8" x14ac:dyDescent="0.3">
      <c r="A95" s="68" t="str">
        <f>IF('Study details'!A94="","",'Study details'!A94)</f>
        <v/>
      </c>
      <c r="B95"/>
      <c r="C95"/>
      <c r="D95"/>
      <c r="E95"/>
      <c r="F95"/>
      <c r="G95"/>
      <c r="H95"/>
    </row>
    <row r="96" spans="1:8" x14ac:dyDescent="0.3">
      <c r="A96" s="68" t="str">
        <f>IF('Study details'!A95="","",'Study details'!A95)</f>
        <v/>
      </c>
      <c r="B96"/>
      <c r="C96"/>
      <c r="D96"/>
      <c r="E96"/>
      <c r="F96"/>
      <c r="G96"/>
      <c r="H96"/>
    </row>
    <row r="97" spans="1:8" x14ac:dyDescent="0.3">
      <c r="A97" s="68" t="str">
        <f>IF('Study details'!A96="","",'Study details'!A96)</f>
        <v/>
      </c>
      <c r="B97"/>
      <c r="C97"/>
      <c r="D97"/>
      <c r="E97"/>
      <c r="F97"/>
      <c r="G97"/>
      <c r="H97"/>
    </row>
    <row r="98" spans="1:8" x14ac:dyDescent="0.3">
      <c r="A98" s="68" t="str">
        <f>IF('Study details'!A97="","",'Study details'!A97)</f>
        <v/>
      </c>
      <c r="B98"/>
      <c r="C98"/>
      <c r="D98"/>
      <c r="E98"/>
      <c r="F98"/>
      <c r="G98"/>
      <c r="H98"/>
    </row>
    <row r="99" spans="1:8" x14ac:dyDescent="0.3">
      <c r="A99" s="68" t="str">
        <f>IF('Study details'!A98="","",'Study details'!A98)</f>
        <v/>
      </c>
      <c r="B99"/>
      <c r="C99"/>
      <c r="D99"/>
      <c r="E99"/>
      <c r="F99"/>
      <c r="G99"/>
      <c r="H99"/>
    </row>
    <row r="100" spans="1:8" x14ac:dyDescent="0.3">
      <c r="A100" s="68" t="str">
        <f>IF('Study details'!A99="","",'Study details'!A99)</f>
        <v/>
      </c>
      <c r="B100"/>
      <c r="C100"/>
      <c r="D100"/>
      <c r="E100"/>
      <c r="F100"/>
      <c r="G100"/>
      <c r="H100"/>
    </row>
    <row r="101" spans="1:8" x14ac:dyDescent="0.3">
      <c r="A101" s="68" t="str">
        <f>IF('Study details'!A100="","",'Study details'!A100)</f>
        <v/>
      </c>
      <c r="B101"/>
      <c r="C101"/>
      <c r="D101"/>
      <c r="E101"/>
      <c r="F101"/>
      <c r="G101"/>
      <c r="H101"/>
    </row>
    <row r="102" spans="1:8" x14ac:dyDescent="0.3">
      <c r="A102" s="68" t="str">
        <f>IF('Study details'!A101="","",'Study details'!A101)</f>
        <v/>
      </c>
      <c r="B102"/>
      <c r="C102"/>
      <c r="D102"/>
      <c r="E102"/>
      <c r="F102"/>
      <c r="G102"/>
      <c r="H102"/>
    </row>
    <row r="103" spans="1:8" x14ac:dyDescent="0.3">
      <c r="A103" s="68" t="str">
        <f>IF('Study details'!A102="","",'Study details'!A102)</f>
        <v/>
      </c>
      <c r="B103"/>
      <c r="C103"/>
      <c r="D103"/>
      <c r="E103"/>
      <c r="F103"/>
      <c r="G103"/>
      <c r="H103"/>
    </row>
    <row r="104" spans="1:8" x14ac:dyDescent="0.3">
      <c r="A104" s="68" t="str">
        <f>IF('Study details'!A103="","",'Study details'!A103)</f>
        <v/>
      </c>
      <c r="B104"/>
      <c r="C104"/>
      <c r="D104"/>
      <c r="E104"/>
      <c r="F104"/>
      <c r="G104"/>
      <c r="H104"/>
    </row>
    <row r="105" spans="1:8" x14ac:dyDescent="0.3">
      <c r="A105" s="68" t="str">
        <f>IF('Study details'!A104="","",'Study details'!A104)</f>
        <v/>
      </c>
      <c r="B105"/>
      <c r="C105"/>
      <c r="D105"/>
      <c r="E105"/>
      <c r="F105"/>
      <c r="G105"/>
      <c r="H105"/>
    </row>
    <row r="106" spans="1:8" x14ac:dyDescent="0.3">
      <c r="A106" s="68" t="str">
        <f>IF('Study details'!A105="","",'Study details'!A105)</f>
        <v/>
      </c>
      <c r="B106"/>
      <c r="C106"/>
      <c r="D106"/>
      <c r="E106"/>
      <c r="F106"/>
      <c r="G106"/>
      <c r="H106"/>
    </row>
    <row r="107" spans="1:8" x14ac:dyDescent="0.3">
      <c r="A107" s="68" t="str">
        <f>IF('Study details'!A106="","",'Study details'!A106)</f>
        <v/>
      </c>
      <c r="B107"/>
      <c r="C107"/>
      <c r="D107"/>
      <c r="E107"/>
      <c r="F107"/>
      <c r="G107"/>
      <c r="H107"/>
    </row>
    <row r="108" spans="1:8" x14ac:dyDescent="0.3">
      <c r="A108" s="68" t="str">
        <f>IF('Study details'!A107="","",'Study details'!A107)</f>
        <v/>
      </c>
      <c r="B108"/>
      <c r="C108"/>
      <c r="D108"/>
      <c r="E108"/>
      <c r="F108"/>
      <c r="G108"/>
      <c r="H108"/>
    </row>
    <row r="109" spans="1:8" x14ac:dyDescent="0.3">
      <c r="A109" s="68" t="str">
        <f>IF('Study details'!A108="","",'Study details'!A108)</f>
        <v/>
      </c>
      <c r="B109"/>
      <c r="C109"/>
      <c r="D109"/>
      <c r="E109"/>
      <c r="F109"/>
      <c r="G109"/>
      <c r="H109"/>
    </row>
    <row r="110" spans="1:8" x14ac:dyDescent="0.3">
      <c r="A110" s="68" t="str">
        <f>IF('Study details'!A109="","",'Study details'!A109)</f>
        <v/>
      </c>
      <c r="B110"/>
      <c r="C110"/>
      <c r="D110"/>
      <c r="E110"/>
      <c r="F110"/>
      <c r="G110"/>
      <c r="H110"/>
    </row>
    <row r="111" spans="1:8" x14ac:dyDescent="0.3">
      <c r="A111" s="68" t="str">
        <f>IF('Study details'!A110="","",'Study details'!A110)</f>
        <v/>
      </c>
      <c r="B111"/>
      <c r="C111"/>
      <c r="D111"/>
      <c r="E111"/>
      <c r="F111"/>
      <c r="G111"/>
      <c r="H111"/>
    </row>
    <row r="112" spans="1:8" x14ac:dyDescent="0.3">
      <c r="A112" s="68" t="str">
        <f>IF('Study details'!A111="","",'Study details'!A111)</f>
        <v/>
      </c>
      <c r="B112"/>
      <c r="C112"/>
      <c r="D112"/>
      <c r="E112"/>
      <c r="F112"/>
      <c r="G112"/>
      <c r="H112"/>
    </row>
    <row r="113" spans="1:8" x14ac:dyDescent="0.3">
      <c r="A113" s="68" t="str">
        <f>IF('Study details'!A112="","",'Study details'!A112)</f>
        <v/>
      </c>
      <c r="B113"/>
      <c r="C113"/>
      <c r="D113"/>
      <c r="E113"/>
      <c r="F113"/>
      <c r="G113"/>
      <c r="H113"/>
    </row>
    <row r="114" spans="1:8" x14ac:dyDescent="0.3">
      <c r="A114" s="68" t="str">
        <f>IF('Study details'!A113="","",'Study details'!A113)</f>
        <v/>
      </c>
      <c r="B114"/>
      <c r="C114"/>
      <c r="D114"/>
      <c r="E114"/>
      <c r="F114"/>
      <c r="G114"/>
      <c r="H114"/>
    </row>
    <row r="115" spans="1:8" x14ac:dyDescent="0.3">
      <c r="A115" s="68" t="str">
        <f>IF('Study details'!A114="","",'Study details'!A114)</f>
        <v/>
      </c>
      <c r="B115"/>
      <c r="C115"/>
      <c r="D115"/>
      <c r="E115"/>
      <c r="F115"/>
      <c r="G115"/>
      <c r="H115"/>
    </row>
    <row r="116" spans="1:8" s="60" customFormat="1" x14ac:dyDescent="0.3">
      <c r="A116" s="68" t="str">
        <f>IF('Study details'!A115="","",'Study details'!A115)</f>
        <v/>
      </c>
      <c r="B116"/>
      <c r="C116"/>
      <c r="D116"/>
      <c r="E116"/>
      <c r="F116"/>
      <c r="G116"/>
      <c r="H116"/>
    </row>
    <row r="117" spans="1:8" x14ac:dyDescent="0.3">
      <c r="A117" s="68" t="str">
        <f>IF('Study details'!A116="","",'Study details'!A116)</f>
        <v/>
      </c>
      <c r="B117"/>
      <c r="C117"/>
      <c r="D117"/>
      <c r="E117"/>
      <c r="F117"/>
      <c r="G117"/>
      <c r="H117"/>
    </row>
    <row r="118" spans="1:8" x14ac:dyDescent="0.3">
      <c r="A118" s="68" t="str">
        <f>IF('Study details'!A117="","",'Study details'!A117)</f>
        <v/>
      </c>
      <c r="B118"/>
      <c r="C118"/>
      <c r="D118"/>
      <c r="E118"/>
      <c r="F118"/>
      <c r="G118"/>
      <c r="H118"/>
    </row>
    <row r="119" spans="1:8" x14ac:dyDescent="0.3">
      <c r="A119" s="68" t="str">
        <f>IF('Study details'!A118="","",'Study details'!A118)</f>
        <v/>
      </c>
      <c r="B119"/>
      <c r="C119"/>
      <c r="D119"/>
      <c r="E119"/>
      <c r="F119"/>
      <c r="G119"/>
      <c r="H119"/>
    </row>
    <row r="120" spans="1:8" x14ac:dyDescent="0.3">
      <c r="A120" s="68" t="str">
        <f>IF('Study details'!A119="","",'Study details'!A119)</f>
        <v/>
      </c>
      <c r="B120"/>
      <c r="C120"/>
      <c r="D120"/>
      <c r="E120"/>
      <c r="F120"/>
      <c r="G120"/>
      <c r="H120"/>
    </row>
    <row r="121" spans="1:8" x14ac:dyDescent="0.3">
      <c r="A121" s="68" t="str">
        <f>IF('Study details'!A120="","",'Study details'!A120)</f>
        <v/>
      </c>
      <c r="B121"/>
      <c r="C121"/>
      <c r="D121"/>
      <c r="E121"/>
      <c r="F121"/>
      <c r="G121"/>
      <c r="H121"/>
    </row>
    <row r="122" spans="1:8" x14ac:dyDescent="0.3">
      <c r="A122" s="68" t="str">
        <f>IF('Study details'!A121="","",'Study details'!A121)</f>
        <v/>
      </c>
      <c r="B122"/>
      <c r="C122"/>
      <c r="D122"/>
      <c r="E122"/>
      <c r="F122"/>
      <c r="G122"/>
      <c r="H122"/>
    </row>
    <row r="123" spans="1:8" x14ac:dyDescent="0.3">
      <c r="A123" s="68" t="str">
        <f>IF('Study details'!A122="","",'Study details'!A122)</f>
        <v/>
      </c>
      <c r="B123"/>
      <c r="C123"/>
      <c r="D123"/>
      <c r="E123"/>
      <c r="F123"/>
      <c r="G123"/>
      <c r="H123"/>
    </row>
    <row r="124" spans="1:8" x14ac:dyDescent="0.3">
      <c r="A124" s="68" t="str">
        <f>IF('Study details'!A123="","",'Study details'!A123)</f>
        <v/>
      </c>
      <c r="B124"/>
      <c r="C124"/>
      <c r="D124"/>
      <c r="E124"/>
      <c r="F124"/>
      <c r="G124"/>
      <c r="H124"/>
    </row>
    <row r="125" spans="1:8" x14ac:dyDescent="0.3">
      <c r="A125" s="68" t="str">
        <f>IF('Study details'!A124="","",'Study details'!A124)</f>
        <v/>
      </c>
      <c r="B125"/>
      <c r="C125"/>
      <c r="D125"/>
      <c r="E125"/>
      <c r="F125"/>
      <c r="G125"/>
      <c r="H125"/>
    </row>
    <row r="126" spans="1:8" x14ac:dyDescent="0.3">
      <c r="A126" s="68" t="str">
        <f>IF('Study details'!A125="","",'Study details'!A125)</f>
        <v/>
      </c>
      <c r="B126"/>
      <c r="C126"/>
      <c r="D126"/>
      <c r="E126"/>
      <c r="F126"/>
      <c r="G126"/>
      <c r="H126"/>
    </row>
    <row r="127" spans="1:8" x14ac:dyDescent="0.3">
      <c r="A127" s="68" t="str">
        <f>IF('Study details'!A126="","",'Study details'!A126)</f>
        <v/>
      </c>
      <c r="B127"/>
      <c r="C127"/>
      <c r="D127"/>
      <c r="E127"/>
      <c r="F127"/>
      <c r="G127"/>
      <c r="H127"/>
    </row>
    <row r="128" spans="1:8" x14ac:dyDescent="0.3">
      <c r="A128" s="68" t="str">
        <f>IF('Study details'!A127="","",'Study details'!A127)</f>
        <v/>
      </c>
      <c r="B128"/>
      <c r="C128"/>
      <c r="D128"/>
      <c r="E128"/>
      <c r="F128"/>
      <c r="G128"/>
      <c r="H128"/>
    </row>
    <row r="129" spans="1:8" x14ac:dyDescent="0.3">
      <c r="A129" s="68" t="str">
        <f>IF('Study details'!A128="","",'Study details'!A128)</f>
        <v/>
      </c>
      <c r="B129"/>
      <c r="C129"/>
      <c r="D129"/>
      <c r="E129"/>
      <c r="F129"/>
      <c r="G129"/>
      <c r="H129"/>
    </row>
    <row r="130" spans="1:8" x14ac:dyDescent="0.3">
      <c r="A130" s="68" t="str">
        <f>IF('Study details'!A129="","",'Study details'!A129)</f>
        <v/>
      </c>
      <c r="B130"/>
      <c r="C130"/>
      <c r="D130"/>
      <c r="E130"/>
      <c r="F130"/>
      <c r="G130"/>
      <c r="H130"/>
    </row>
    <row r="131" spans="1:8" s="60" customFormat="1" x14ac:dyDescent="0.3">
      <c r="A131" s="68" t="str">
        <f>IF('Study details'!A130="","",'Study details'!A130)</f>
        <v/>
      </c>
      <c r="B131"/>
      <c r="C131"/>
      <c r="D131"/>
      <c r="E131"/>
      <c r="F131"/>
      <c r="G131"/>
      <c r="H131"/>
    </row>
    <row r="132" spans="1:8" x14ac:dyDescent="0.3">
      <c r="A132" s="68" t="str">
        <f>IF('Study details'!A131="","",'Study details'!A131)</f>
        <v/>
      </c>
      <c r="B132"/>
      <c r="C132"/>
      <c r="D132"/>
      <c r="E132"/>
      <c r="F132"/>
      <c r="G132"/>
      <c r="H132"/>
    </row>
    <row r="133" spans="1:8" x14ac:dyDescent="0.3">
      <c r="A133" s="68" t="str">
        <f>IF('Study details'!A132="","",'Study details'!A132)</f>
        <v/>
      </c>
      <c r="B133"/>
      <c r="C133"/>
      <c r="D133"/>
      <c r="E133"/>
      <c r="F133"/>
      <c r="G133"/>
      <c r="H133"/>
    </row>
    <row r="134" spans="1:8" x14ac:dyDescent="0.3">
      <c r="A134" s="68" t="str">
        <f>IF('Study details'!A133="","",'Study details'!A133)</f>
        <v/>
      </c>
      <c r="B134"/>
      <c r="C134"/>
      <c r="D134"/>
      <c r="E134"/>
      <c r="F134"/>
      <c r="G134"/>
      <c r="H134"/>
    </row>
    <row r="135" spans="1:8" x14ac:dyDescent="0.3">
      <c r="A135" s="68" t="str">
        <f>IF('Study details'!A134="","",'Study details'!A134)</f>
        <v/>
      </c>
      <c r="B135"/>
      <c r="C135"/>
      <c r="D135"/>
      <c r="E135"/>
      <c r="F135"/>
      <c r="G135"/>
      <c r="H135"/>
    </row>
    <row r="136" spans="1:8" x14ac:dyDescent="0.3">
      <c r="A136" s="68" t="str">
        <f>IF('Study details'!A135="","",'Study details'!A135)</f>
        <v/>
      </c>
      <c r="B136"/>
      <c r="C136"/>
      <c r="D136"/>
      <c r="E136"/>
      <c r="F136"/>
      <c r="G136"/>
      <c r="H136"/>
    </row>
    <row r="137" spans="1:8" x14ac:dyDescent="0.3">
      <c r="A137" s="68" t="str">
        <f>IF('Study details'!A136="","",'Study details'!A136)</f>
        <v/>
      </c>
      <c r="B137"/>
      <c r="C137"/>
      <c r="D137"/>
      <c r="E137"/>
      <c r="F137"/>
      <c r="G137"/>
      <c r="H137"/>
    </row>
    <row r="138" spans="1:8" x14ac:dyDescent="0.3">
      <c r="A138" s="68" t="str">
        <f>IF('Study details'!A137="","",'Study details'!A137)</f>
        <v/>
      </c>
      <c r="B138"/>
      <c r="C138"/>
      <c r="D138"/>
      <c r="E138"/>
      <c r="F138"/>
      <c r="G138"/>
      <c r="H138"/>
    </row>
    <row r="139" spans="1:8" x14ac:dyDescent="0.3">
      <c r="A139" s="68" t="str">
        <f>IF('Study details'!A138="","",'Study details'!A138)</f>
        <v/>
      </c>
      <c r="B139"/>
      <c r="C139"/>
      <c r="D139"/>
      <c r="E139"/>
      <c r="F139"/>
      <c r="G139"/>
      <c r="H139"/>
    </row>
    <row r="140" spans="1:8" x14ac:dyDescent="0.3">
      <c r="A140" s="68" t="str">
        <f>IF('Study details'!A139="","",'Study details'!A139)</f>
        <v/>
      </c>
      <c r="B140"/>
      <c r="C140"/>
      <c r="D140"/>
      <c r="E140"/>
      <c r="F140"/>
      <c r="G140"/>
      <c r="H140"/>
    </row>
    <row r="141" spans="1:8" x14ac:dyDescent="0.3">
      <c r="A141" s="68" t="str">
        <f>IF('Study details'!A140="","",'Study details'!A140)</f>
        <v/>
      </c>
      <c r="B141"/>
      <c r="C141"/>
      <c r="D141"/>
      <c r="E141"/>
      <c r="F141"/>
      <c r="G141"/>
      <c r="H141"/>
    </row>
    <row r="142" spans="1:8" x14ac:dyDescent="0.3">
      <c r="A142" s="68" t="str">
        <f>IF('Study details'!A141="","",'Study details'!A141)</f>
        <v/>
      </c>
      <c r="B142"/>
      <c r="C142"/>
      <c r="D142"/>
      <c r="E142"/>
      <c r="F142"/>
      <c r="G142"/>
      <c r="H142"/>
    </row>
    <row r="143" spans="1:8" x14ac:dyDescent="0.3">
      <c r="A143" s="68" t="str">
        <f>IF('Study details'!A142="","",'Study details'!A142)</f>
        <v/>
      </c>
      <c r="B143"/>
      <c r="C143"/>
      <c r="D143"/>
      <c r="E143"/>
      <c r="F143"/>
      <c r="G143"/>
      <c r="H143"/>
    </row>
    <row r="144" spans="1:8" x14ac:dyDescent="0.3">
      <c r="A144" s="68" t="str">
        <f>IF('Study details'!A143="","",'Study details'!A143)</f>
        <v/>
      </c>
      <c r="B144"/>
      <c r="C144"/>
      <c r="D144"/>
      <c r="E144"/>
      <c r="F144"/>
      <c r="G144"/>
      <c r="H144"/>
    </row>
    <row r="145" spans="1:8" x14ac:dyDescent="0.3">
      <c r="A145" s="68" t="str">
        <f>IF('Study details'!A144="","",'Study details'!A144)</f>
        <v/>
      </c>
      <c r="B145"/>
      <c r="C145"/>
      <c r="D145"/>
      <c r="E145"/>
      <c r="F145"/>
      <c r="G145"/>
      <c r="H145"/>
    </row>
    <row r="146" spans="1:8" s="60" customFormat="1" x14ac:dyDescent="0.3">
      <c r="A146" s="68" t="str">
        <f>IF('Study details'!A145="","",'Study details'!A145)</f>
        <v/>
      </c>
      <c r="B146"/>
      <c r="C146"/>
      <c r="D146"/>
      <c r="E146"/>
      <c r="F146"/>
      <c r="G146"/>
      <c r="H146"/>
    </row>
    <row r="147" spans="1:8" x14ac:dyDescent="0.3">
      <c r="A147" s="68" t="str">
        <f>IF('Study details'!A146="","",'Study details'!A146)</f>
        <v/>
      </c>
      <c r="B147"/>
      <c r="C147"/>
      <c r="D147"/>
      <c r="E147"/>
      <c r="F147"/>
      <c r="G147"/>
      <c r="H147"/>
    </row>
    <row r="148" spans="1:8" x14ac:dyDescent="0.3">
      <c r="A148" s="68" t="str">
        <f>IF('Study details'!A147="","",'Study details'!A147)</f>
        <v/>
      </c>
      <c r="B148"/>
      <c r="C148"/>
      <c r="D148"/>
      <c r="E148"/>
      <c r="F148"/>
      <c r="G148"/>
      <c r="H148"/>
    </row>
    <row r="149" spans="1:8" x14ac:dyDescent="0.3">
      <c r="A149" s="68" t="str">
        <f>IF('Study details'!A148="","",'Study details'!A148)</f>
        <v/>
      </c>
      <c r="B149"/>
      <c r="C149"/>
      <c r="D149"/>
      <c r="E149"/>
      <c r="F149"/>
      <c r="G149"/>
      <c r="H149"/>
    </row>
    <row r="150" spans="1:8" x14ac:dyDescent="0.3">
      <c r="A150" s="68" t="str">
        <f>IF('Study details'!A149="","",'Study details'!A149)</f>
        <v/>
      </c>
      <c r="B150"/>
      <c r="C150"/>
      <c r="D150"/>
      <c r="E150"/>
      <c r="F150"/>
      <c r="G150"/>
      <c r="H150"/>
    </row>
    <row r="151" spans="1:8" x14ac:dyDescent="0.3">
      <c r="A151" s="68" t="str">
        <f>IF('Study details'!A150="","",'Study details'!A150)</f>
        <v/>
      </c>
      <c r="B151"/>
      <c r="C151"/>
      <c r="D151"/>
      <c r="E151"/>
      <c r="F151"/>
      <c r="G151"/>
      <c r="H151"/>
    </row>
    <row r="152" spans="1:8" x14ac:dyDescent="0.3">
      <c r="A152" s="68" t="str">
        <f>IF('Study details'!A151="","",'Study details'!A151)</f>
        <v/>
      </c>
      <c r="B152"/>
      <c r="C152"/>
      <c r="D152"/>
      <c r="E152"/>
      <c r="F152"/>
      <c r="G152"/>
      <c r="H152"/>
    </row>
    <row r="153" spans="1:8" x14ac:dyDescent="0.3">
      <c r="A153" s="68" t="str">
        <f>IF('Study details'!A152="","",'Study details'!A152)</f>
        <v/>
      </c>
      <c r="B153"/>
      <c r="C153"/>
      <c r="D153"/>
      <c r="E153"/>
      <c r="F153"/>
      <c r="G153"/>
      <c r="H153"/>
    </row>
    <row r="154" spans="1:8" x14ac:dyDescent="0.3">
      <c r="A154" s="68" t="str">
        <f>IF('Study details'!A153="","",'Study details'!A153)</f>
        <v/>
      </c>
      <c r="B154"/>
      <c r="C154"/>
      <c r="D154"/>
      <c r="E154"/>
      <c r="F154"/>
      <c r="G154"/>
      <c r="H154"/>
    </row>
    <row r="155" spans="1:8" s="60" customFormat="1" x14ac:dyDescent="0.3">
      <c r="A155" s="68" t="str">
        <f>IF('Study details'!A154="","",'Study details'!A154)</f>
        <v/>
      </c>
      <c r="B155"/>
      <c r="C155"/>
      <c r="D155"/>
      <c r="E155"/>
      <c r="F155"/>
      <c r="G155"/>
      <c r="H155"/>
    </row>
    <row r="156" spans="1:8" x14ac:dyDescent="0.3">
      <c r="A156" s="68" t="str">
        <f>IF('Study details'!A155="","",'Study details'!A155)</f>
        <v/>
      </c>
      <c r="B156"/>
      <c r="C156"/>
      <c r="D156"/>
      <c r="E156"/>
      <c r="F156"/>
      <c r="G156"/>
      <c r="H156"/>
    </row>
    <row r="157" spans="1:8" x14ac:dyDescent="0.3">
      <c r="A157" s="68" t="str">
        <f>IF('Study details'!A156="","",'Study details'!A156)</f>
        <v/>
      </c>
      <c r="B157"/>
      <c r="C157"/>
      <c r="D157"/>
      <c r="E157"/>
      <c r="F157"/>
      <c r="G157"/>
      <c r="H157"/>
    </row>
    <row r="158" spans="1:8" x14ac:dyDescent="0.3">
      <c r="A158" s="68" t="str">
        <f>IF('Study details'!A157="","",'Study details'!A157)</f>
        <v/>
      </c>
      <c r="B158"/>
      <c r="C158"/>
      <c r="D158"/>
      <c r="E158"/>
      <c r="F158"/>
      <c r="G158"/>
      <c r="H158"/>
    </row>
    <row r="159" spans="1:8" x14ac:dyDescent="0.3">
      <c r="A159" s="68" t="str">
        <f>IF('Study details'!A158="","",'Study details'!A158)</f>
        <v/>
      </c>
      <c r="B159"/>
      <c r="C159"/>
      <c r="D159"/>
      <c r="E159"/>
      <c r="F159"/>
      <c r="G159"/>
      <c r="H159"/>
    </row>
    <row r="160" spans="1:8" x14ac:dyDescent="0.3">
      <c r="A160" s="68" t="str">
        <f>IF('Study details'!A159="","",'Study details'!A159)</f>
        <v/>
      </c>
      <c r="B160"/>
      <c r="C160"/>
      <c r="D160"/>
      <c r="E160"/>
      <c r="F160"/>
      <c r="G160"/>
      <c r="H160"/>
    </row>
    <row r="161" spans="1:8" s="60" customFormat="1" x14ac:dyDescent="0.3">
      <c r="A161" s="68" t="str">
        <f>IF('Study details'!A160="","",'Study details'!A160)</f>
        <v/>
      </c>
      <c r="B161"/>
      <c r="C161"/>
      <c r="D161"/>
      <c r="E161"/>
      <c r="F161"/>
      <c r="G161"/>
      <c r="H161"/>
    </row>
    <row r="162" spans="1:8" x14ac:dyDescent="0.3">
      <c r="A162" s="68" t="str">
        <f>IF('Study details'!A161="","",'Study details'!A161)</f>
        <v/>
      </c>
      <c r="B162"/>
      <c r="C162"/>
      <c r="D162"/>
      <c r="E162"/>
      <c r="F162"/>
      <c r="G162"/>
      <c r="H162"/>
    </row>
    <row r="163" spans="1:8" x14ac:dyDescent="0.3">
      <c r="A163" s="68" t="str">
        <f>IF('Study details'!A162="","",'Study details'!A162)</f>
        <v/>
      </c>
      <c r="B163"/>
      <c r="C163"/>
      <c r="D163"/>
      <c r="E163"/>
      <c r="F163"/>
      <c r="G163"/>
      <c r="H163"/>
    </row>
    <row r="164" spans="1:8" x14ac:dyDescent="0.3">
      <c r="A164" s="68" t="str">
        <f>IF('Study details'!A163="","",'Study details'!A163)</f>
        <v/>
      </c>
      <c r="B164"/>
      <c r="C164"/>
      <c r="D164"/>
      <c r="E164"/>
      <c r="F164"/>
      <c r="G164"/>
      <c r="H164"/>
    </row>
    <row r="165" spans="1:8" x14ac:dyDescent="0.3">
      <c r="A165" s="68" t="str">
        <f>IF('Study details'!A164="","",'Study details'!A164)</f>
        <v/>
      </c>
      <c r="B165"/>
      <c r="C165"/>
      <c r="D165"/>
      <c r="E165"/>
      <c r="F165"/>
      <c r="G165"/>
      <c r="H165"/>
    </row>
    <row r="166" spans="1:8" x14ac:dyDescent="0.3">
      <c r="A166" s="68" t="str">
        <f>IF('Study details'!A165="","",'Study details'!A165)</f>
        <v/>
      </c>
      <c r="B166"/>
      <c r="C166"/>
      <c r="D166"/>
      <c r="E166"/>
      <c r="F166"/>
      <c r="G166"/>
      <c r="H166"/>
    </row>
    <row r="167" spans="1:8" s="60" customFormat="1" x14ac:dyDescent="0.3">
      <c r="A167" s="68" t="str">
        <f>IF('Study details'!A166="","",'Study details'!A166)</f>
        <v/>
      </c>
      <c r="B167"/>
      <c r="C167"/>
      <c r="D167"/>
      <c r="E167"/>
      <c r="F167"/>
      <c r="G167"/>
      <c r="H167"/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45</vt:i4>
      </vt:variant>
    </vt:vector>
  </HeadingPairs>
  <TitlesOfParts>
    <vt:vector size="55" baseType="lpstr">
      <vt:lpstr>Investigation details</vt:lpstr>
      <vt:lpstr>Set-up details</vt:lpstr>
      <vt:lpstr>Study details</vt:lpstr>
      <vt:lpstr>Measurement Details</vt:lpstr>
      <vt:lpstr>Test matrix</vt:lpstr>
      <vt:lpstr>Measurement protocols</vt:lpstr>
      <vt:lpstr>Measurement output</vt:lpstr>
      <vt:lpstr>Processing protocols</vt:lpstr>
      <vt:lpstr>Processing output</vt:lpstr>
      <vt:lpstr>Assays</vt:lpstr>
      <vt:lpstr>a_1_1</vt:lpstr>
      <vt:lpstr>a_1_10</vt:lpstr>
      <vt:lpstr>a_1_11</vt:lpstr>
      <vt:lpstr>a_1_2</vt:lpstr>
      <vt:lpstr>a_1_3</vt:lpstr>
      <vt:lpstr>a_1_4</vt:lpstr>
      <vt:lpstr>a_1_5</vt:lpstr>
      <vt:lpstr>a_1_6</vt:lpstr>
      <vt:lpstr>a_1_7</vt:lpstr>
      <vt:lpstr>a_1_8</vt:lpstr>
      <vt:lpstr>a_1_9</vt:lpstr>
      <vt:lpstr>a_2_1</vt:lpstr>
      <vt:lpstr>a_2_10</vt:lpstr>
      <vt:lpstr>a_2_11</vt:lpstr>
      <vt:lpstr>a_2_2</vt:lpstr>
      <vt:lpstr>a_2_3</vt:lpstr>
      <vt:lpstr>a_2_4</vt:lpstr>
      <vt:lpstr>a_2_5</vt:lpstr>
      <vt:lpstr>a_2_6</vt:lpstr>
      <vt:lpstr>a_2_7</vt:lpstr>
      <vt:lpstr>a_2_8</vt:lpstr>
      <vt:lpstr>a_2_9</vt:lpstr>
      <vt:lpstr>a_3_1</vt:lpstr>
      <vt:lpstr>a_3_10</vt:lpstr>
      <vt:lpstr>a_3_11</vt:lpstr>
      <vt:lpstr>a_3_2</vt:lpstr>
      <vt:lpstr>a_3_3</vt:lpstr>
      <vt:lpstr>a_3_4</vt:lpstr>
      <vt:lpstr>a_3_5</vt:lpstr>
      <vt:lpstr>a_3_6</vt:lpstr>
      <vt:lpstr>a_3_7</vt:lpstr>
      <vt:lpstr>a_3_8</vt:lpstr>
      <vt:lpstr>a_3_9</vt:lpstr>
      <vt:lpstr>a_4_1</vt:lpstr>
      <vt:lpstr>a_4_10</vt:lpstr>
      <vt:lpstr>a_4_11</vt:lpstr>
      <vt:lpstr>a_4_2</vt:lpstr>
      <vt:lpstr>a_4_3</vt:lpstr>
      <vt:lpstr>a_4_4</vt:lpstr>
      <vt:lpstr>a_4_5</vt:lpstr>
      <vt:lpstr>a_4_6</vt:lpstr>
      <vt:lpstr>a_4_7</vt:lpstr>
      <vt:lpstr>a_4_8</vt:lpstr>
      <vt:lpstr>a_4_9</vt:lpstr>
      <vt:lpstr>Measurement_types</vt:lpstr>
    </vt:vector>
  </TitlesOfParts>
  <Company>Ministerie van Defensie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Tinga</dc:creator>
  <cp:lastModifiedBy>Luc Keizers</cp:lastModifiedBy>
  <dcterms:created xsi:type="dcterms:W3CDTF">2025-03-04T16:02:14Z</dcterms:created>
  <dcterms:modified xsi:type="dcterms:W3CDTF">2025-08-29T13:17:38Z</dcterms:modified>
</cp:coreProperties>
</file>